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800" windowHeight="11760" activeTab="2"/>
  </bookViews>
  <sheets>
    <sheet name="تعليمات" sheetId="3" r:id="rId1"/>
    <sheet name="&lt;2021" sheetId="2" r:id="rId2"/>
    <sheet name="&gt;=2021" sheetId="4" r:id="rId3"/>
  </sheets>
  <externalReferences>
    <externalReference r:id="rId4"/>
  </externalReference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list">_xlfn.LAMBDA(_xlpm.cell, _xlfn.LET( _xlpm.list,_xlfn.VSTACK("*",_xlfn.TOCOL(_xlfn.UNIQUE([1]!Table1[name]),3)), _xlpm.newlist,_xlfn._xlws.FILTER(_xlpm.list,NOT(ISNUMBER(_xlfn.XMATCH(_xlpm.list,_xlpm.cell))),""), _xlpm.newlist))</definedName>
    <definedName name="Name">#REF!</definedName>
    <definedName name="_xlnm.Print_Area" localSheetId="0">تعليمات!$A$1:$E$5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RRRR" hidden="1">{"FirstQ",#N/A,FALSE,"Budget2000";"SecondQ",#N/A,FALSE,"Budget2000"}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4" i="2" s="1"/>
  <c r="A3" i="4" a="1"/>
  <c r="H8" i="4"/>
  <c r="H7" i="4"/>
  <c r="H6" i="4"/>
  <c r="H5" i="4"/>
  <c r="H4" i="4"/>
  <c r="H3" i="4"/>
  <c r="H8" i="2"/>
  <c r="H7" i="2"/>
  <c r="H6" i="2"/>
  <c r="H5" i="2"/>
  <c r="H4" i="2"/>
  <c r="H3" i="2"/>
  <c r="C6" i="2" l="1"/>
  <c r="A4" i="2"/>
  <c r="D4" i="2"/>
  <c r="E4" i="2"/>
  <c r="A5" i="2"/>
  <c r="C5" i="2"/>
  <c r="E5" i="2"/>
  <c r="G5" i="2"/>
  <c r="B6" i="2"/>
  <c r="D6" i="2"/>
  <c r="F6" i="2"/>
  <c r="A7" i="2"/>
  <c r="C7" i="2"/>
  <c r="E7" i="2"/>
  <c r="F7" i="2"/>
  <c r="G7" i="2"/>
  <c r="B8" i="2"/>
  <c r="D8" i="2"/>
  <c r="F8" i="2"/>
  <c r="B3" i="2"/>
  <c r="E3" i="2"/>
  <c r="G3" i="2"/>
  <c r="B4" i="2"/>
  <c r="C4" i="2"/>
  <c r="G4" i="2"/>
  <c r="B5" i="2"/>
  <c r="D5" i="2"/>
  <c r="F5" i="2"/>
  <c r="A6" i="2"/>
  <c r="E6" i="2"/>
  <c r="G6" i="2"/>
  <c r="B7" i="2"/>
  <c r="D7" i="2"/>
  <c r="A8" i="2"/>
  <c r="C8" i="2"/>
  <c r="E8" i="2"/>
  <c r="G8" i="2"/>
  <c r="C3" i="2"/>
  <c r="D3" i="2"/>
  <c r="F3" i="2"/>
  <c r="A3" i="2"/>
  <c r="A3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<sst xmlns="http://schemas.openxmlformats.org/spreadsheetml/2006/main" count="19" uniqueCount="11">
  <si>
    <t>الأحد</t>
  </si>
  <si>
    <t>الإثنين</t>
  </si>
  <si>
    <t>الثلاثاء</t>
  </si>
  <si>
    <t>الأربعاء</t>
  </si>
  <si>
    <t>الخميس</t>
  </si>
  <si>
    <t>الجمعة</t>
  </si>
  <si>
    <t>السبت</t>
  </si>
  <si>
    <t>الاسبوع</t>
  </si>
  <si>
    <t>=IF(MONTH($A$1-(WEEKDAY($A$1)-1)+((ROW(A3)-3)*7)+COLUMN(A3)-1)=$B$1;TEXT($A$1-(WEEKDAY($A$1)-1)+((ROW(A3)-3)*7)+COLUMN(A3)-1;"dd");"")</t>
  </si>
  <si>
    <t>=LET(
    BaseDate;  DATEVALUE($A$1&amp;"-"&amp;$B$1);
    FirstDay;  DATE(YEAR(BaseDate); MONTH(BaseDate); 1);
    StartDate; FirstDay - WEEKDAY(FirstDay) + 1;
    CalGrid;   SEQUENCE(6; 7; StartDate; 1);
    IF(MONTH(CalGrid) = MONTH(FirstDay); TEXT(CalGrid;"dd"); "")
)</t>
  </si>
  <si>
    <t>=DATE(YEAR(DATEVALUE($B$1&amp;"-"&amp;$C$1));MONTH(DATEVALUE($B$1&amp;"-"&amp;$C$1));1)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</si>
</sst>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4"/>
      <color theme="0"/>
      <name val="Arial Rounded MT Bold"/>
      <family val="2"/>
    </font>
    <font>
      <b/>
      <sz val="12"/>
      <color theme="0"/>
      <name val="Arial Rounded MT Bold"/>
      <family val="2"/>
    </font>
    <font>
      <sz val="12"/>
      <name val="Arial Rounded MT Bold"/>
      <family val="2"/>
    </font>
    <font>
      <sz val="12"/>
      <color theme="0"/>
      <name val="Arial Rounded MT Bold"/>
      <family val="2"/>
    </font>
    <font>
      <sz val="11"/>
      <color theme="0"/>
      <name val="Aptos Narrow"/>
      <family val="2"/>
      <scheme val="minor"/>
    </font>
    <font>
      <sz val="12"/>
      <color theme="1"/>
      <name val="Tahoma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3B536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/>
      </top>
      <bottom/>
      <diagonal/>
    </border>
    <border>
      <left/>
      <right/>
      <top/>
      <bottom style="thick">
        <color rgb="FF9DC2D9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4" borderId="6" xfId="0" applyFont="1" applyFill="1" applyBorder="1"/>
    <xf numFmtId="0" fontId="7" fillId="0" borderId="0" xfId="1" applyFont="1" applyProtection="1">
      <protection locked="0"/>
    </xf>
    <xf numFmtId="0" fontId="3" fillId="3" borderId="0" xfId="1" applyFont="1" applyFill="1" applyAlignment="1" applyProtection="1">
      <alignment horizontal="center" vertical="center"/>
      <protection locked="0"/>
    </xf>
    <xf numFmtId="0" fontId="2" fillId="0" borderId="0" xfId="1" applyProtection="1"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  <xf numFmtId="0" fontId="6" fillId="3" borderId="5" xfId="1" applyFont="1" applyFill="1" applyBorder="1" applyAlignment="1" applyProtection="1">
      <alignment horizontal="center" vertical="center"/>
      <protection locked="0"/>
    </xf>
    <xf numFmtId="0" fontId="2" fillId="0" borderId="0" xfId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</cellXfs>
  <cellStyles count="2">
    <cellStyle name="Normal" xfId="0" builtinId="0"/>
    <cellStyle name="Normal 2" xfId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8.svg"/><Relationship Id="rId3" Type="http://schemas.openxmlformats.org/officeDocument/2006/relationships/hyperlink" Target="https://www.facebook.com/ahmedsamir00003" TargetMode="External"/><Relationship Id="rId7" Type="http://schemas.openxmlformats.org/officeDocument/2006/relationships/image" Target="../media/image2.png"/><Relationship Id="rId12" Type="http://schemas.openxmlformats.org/officeDocument/2006/relationships/image" Target="../media/image4.png"/><Relationship Id="rId2" Type="http://schemas.openxmlformats.org/officeDocument/2006/relationships/hyperlink" Target="https://linktr.ee/ahmedsamir00003" TargetMode="External"/><Relationship Id="rId16" Type="http://schemas.openxmlformats.org/officeDocument/2006/relationships/image" Target="../media/image10.svg"/><Relationship Id="rId1" Type="http://schemas.openxmlformats.org/officeDocument/2006/relationships/hyperlink" Target="https://www.linkedin.com/in/ahmedsamir0003/" TargetMode="External"/><Relationship Id="rId6" Type="http://schemas.openxmlformats.org/officeDocument/2006/relationships/hyperlink" Target="https://www.instagram.com/ahmedsamir00003" TargetMode="External"/><Relationship Id="rId11" Type="http://schemas.openxmlformats.org/officeDocument/2006/relationships/hyperlink" Target="https://www.tiktok.com/@ahmedsamir00003" TargetMode="External"/><Relationship Id="rId5" Type="http://schemas.openxmlformats.org/officeDocument/2006/relationships/image" Target="../media/image2.svg"/><Relationship Id="rId15" Type="http://schemas.openxmlformats.org/officeDocument/2006/relationships/image" Target="../media/image5.png"/><Relationship Id="rId10" Type="http://schemas.openxmlformats.org/officeDocument/2006/relationships/image" Target="../media/image6.svg"/><Relationship Id="rId4" Type="http://schemas.openxmlformats.org/officeDocument/2006/relationships/image" Target="../media/image1.png"/><Relationship Id="rId9" Type="http://schemas.openxmlformats.org/officeDocument/2006/relationships/image" Target="../media/image3.png"/><Relationship Id="rId14" Type="http://schemas.openxmlformats.org/officeDocument/2006/relationships/hyperlink" Target="https://www.youtube.com/@ahmedsamir0000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294232</xdr:colOff>
      <xdr:row>1</xdr:row>
      <xdr:rowOff>31248</xdr:rowOff>
    </xdr:from>
    <xdr:ext cx="5531322" cy="46384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8496B5BB-8856-4B77-84A1-9ED0E3EF9EFE}"/>
            </a:ext>
          </a:extLst>
        </xdr:cNvPr>
        <xdr:cNvSpPr/>
      </xdr:nvSpPr>
      <xdr:spPr>
        <a:xfrm>
          <a:off x="4961482" y="726573"/>
          <a:ext cx="5531322" cy="46384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EG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1-معادلات عمل تقويم</a:t>
          </a:r>
          <a:r>
            <a:rPr lang="ar-EG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ميلادي تلقائي اتبع التعليمات الموجوده علي المعادلة</a:t>
          </a:r>
          <a:br>
            <a:rPr lang="ar-EG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ar-EG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في حالة تغير مكان التقويم او نقله 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oneCellAnchor>
  <xdr:oneCellAnchor>
    <xdr:from>
      <xdr:col>2</xdr:col>
      <xdr:colOff>161924</xdr:colOff>
      <xdr:row>0</xdr:row>
      <xdr:rowOff>171450</xdr:rowOff>
    </xdr:from>
    <xdr:ext cx="2314575" cy="523875"/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96760C8-5E1C-4D51-A0F5-FA8017BC2F46}"/>
            </a:ext>
          </a:extLst>
        </xdr:cNvPr>
        <xdr:cNvSpPr/>
      </xdr:nvSpPr>
      <xdr:spPr>
        <a:xfrm>
          <a:off x="4829174" y="171450"/>
          <a:ext cx="2314575" cy="52387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ar-SA" sz="1400" b="1" i="0" cap="none" spc="0">
              <a:ln/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لاتنسونا</a:t>
          </a:r>
          <a:r>
            <a:rPr lang="ar-SA" sz="1400" b="1" i="0" cap="none" spc="0" baseline="0">
              <a:ln/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بصالح دعاؤكم</a:t>
          </a:r>
        </a:p>
        <a:p>
          <a:pPr algn="ctr"/>
          <a:r>
            <a:rPr lang="ar-EG" sz="1400" b="1" i="0" cap="none" spc="0" baseline="0">
              <a:ln/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أ/أحمد سمير </a:t>
          </a:r>
          <a:endParaRPr lang="ar-SA" sz="1400" b="1" i="0" cap="none" spc="0" baseline="0">
            <a:ln/>
            <a:solidFill>
              <a:schemeClr val="bg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endParaRPr lang="en-US" sz="1400" b="1" i="0" cap="none" spc="0">
            <a:ln/>
            <a:solidFill>
              <a:schemeClr val="bg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oneCellAnchor>
  <xdr:twoCellAnchor>
    <xdr:from>
      <xdr:col>0</xdr:col>
      <xdr:colOff>66676</xdr:colOff>
      <xdr:row>1</xdr:row>
      <xdr:rowOff>95250</xdr:rowOff>
    </xdr:from>
    <xdr:to>
      <xdr:col>1</xdr:col>
      <xdr:colOff>1733551</xdr:colOff>
      <xdr:row>4</xdr:row>
      <xdr:rowOff>533400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xmlns="" id="{BA3EF996-2092-41DB-856B-5EBAB27A5C8A}"/>
            </a:ext>
          </a:extLst>
        </xdr:cNvPr>
        <xdr:cNvGrpSpPr/>
      </xdr:nvGrpSpPr>
      <xdr:grpSpPr>
        <a:xfrm>
          <a:off x="66676" y="790575"/>
          <a:ext cx="4000500" cy="2524125"/>
          <a:chOff x="123825" y="1223191"/>
          <a:chExt cx="5191125" cy="103822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xmlns="" id="{1EB4D431-6DBA-B8C9-80A4-F925A8FCA811}"/>
              </a:ext>
            </a:extLst>
          </xdr:cNvPr>
          <xdr:cNvSpPr/>
        </xdr:nvSpPr>
        <xdr:spPr>
          <a:xfrm>
            <a:off x="123825" y="1223191"/>
            <a:ext cx="5191125" cy="1038225"/>
          </a:xfrm>
          <a:prstGeom prst="roundRect">
            <a:avLst/>
          </a:prstGeom>
          <a:gradFill flip="none" rotWithShape="1">
            <a:gsLst>
              <a:gs pos="0">
                <a:srgbClr val="3B5364"/>
              </a:gs>
              <a:gs pos="25000">
                <a:srgbClr val="3B5364"/>
              </a:gs>
              <a:gs pos="100000">
                <a:schemeClr val="bg1"/>
              </a:gs>
            </a:gsLst>
            <a:lin ang="5400000" scaled="0"/>
            <a:tileRect/>
          </a:gra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ar-EG" sz="140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صفحاتي علي مواقع</a:t>
            </a:r>
            <a:r>
              <a:rPr lang="ar-EG" sz="1400" b="1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التواصل الاجتماعي</a:t>
            </a:r>
            <a:endParaRPr lang="en-US" sz="14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">
        <xdr:nvSpPr>
          <xdr:cNvPr id="7" name="Rounded Rectangle 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xmlns="" id="{CD50EF9D-988D-00CD-25B0-DDE8FAF7F021}"/>
              </a:ext>
            </a:extLst>
          </xdr:cNvPr>
          <xdr:cNvSpPr/>
        </xdr:nvSpPr>
        <xdr:spPr>
          <a:xfrm>
            <a:off x="1591014" y="1937491"/>
            <a:ext cx="2380345" cy="290603"/>
          </a:xfrm>
          <a:prstGeom prst="roundRect">
            <a:avLst/>
          </a:prstGeom>
          <a:gradFill>
            <a:gsLst>
              <a:gs pos="97000">
                <a:srgbClr val="9DC2D9"/>
              </a:gs>
              <a:gs pos="0">
                <a:srgbClr val="9DC2D9"/>
              </a:gs>
            </a:gsLst>
            <a:lin ang="5400000" scaled="1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xdr:spPr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600" b="1" i="0" u="none" strike="noStrike" kern="0" cap="none" spc="0" normalizeH="0" baseline="0" noProof="0">
                <a:ln>
                  <a:noFill/>
                </a:ln>
                <a:solidFill>
                  <a:srgbClr val="1C1C1C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كورساتي و ادوات اخر</a:t>
            </a:r>
            <a:endParaRPr kumimoji="0" lang="en-US" sz="1600" b="1" i="0" u="none" strike="noStrike" kern="0" cap="none" spc="0" normalizeH="0" baseline="0" noProof="0">
              <a:ln>
                <a:noFill/>
              </a:ln>
              <a:solidFill>
                <a:srgbClr val="1C1C1C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19050</xdr:colOff>
      <xdr:row>0</xdr:row>
      <xdr:rowOff>19050</xdr:rowOff>
    </xdr:from>
    <xdr:to>
      <xdr:col>0</xdr:col>
      <xdr:colOff>2076450</xdr:colOff>
      <xdr:row>0</xdr:row>
      <xdr:rowOff>485775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xmlns="" id="{62E19516-6091-41C5-A3D6-6234BF2B33FA}"/>
            </a:ext>
          </a:extLst>
        </xdr:cNvPr>
        <xdr:cNvSpPr/>
      </xdr:nvSpPr>
      <xdr:spPr>
        <a:xfrm>
          <a:off x="19050" y="19050"/>
          <a:ext cx="2057400" cy="466725"/>
        </a:xfrm>
        <a:prstGeom prst="rightArrow">
          <a:avLst/>
        </a:prstGeom>
        <a:solidFill>
          <a:srgbClr val="9DC2D9"/>
        </a:solidFill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333376</xdr:colOff>
      <xdr:row>2</xdr:row>
      <xdr:rowOff>257174</xdr:rowOff>
    </xdr:from>
    <xdr:to>
      <xdr:col>1</xdr:col>
      <xdr:colOff>1399416</xdr:colOff>
      <xdr:row>2</xdr:row>
      <xdr:rowOff>617174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xmlns="" id="{33439D1B-2F81-4CDB-B9EF-243D977F9AC4}"/>
            </a:ext>
          </a:extLst>
        </xdr:cNvPr>
        <xdr:cNvGrpSpPr/>
      </xdr:nvGrpSpPr>
      <xdr:grpSpPr>
        <a:xfrm>
          <a:off x="333376" y="1647824"/>
          <a:ext cx="3399665" cy="360000"/>
          <a:chOff x="333376" y="1352549"/>
          <a:chExt cx="3399665" cy="360000"/>
        </a:xfrm>
        <a:solidFill>
          <a:schemeClr val="bg1"/>
        </a:solidFill>
      </xdr:grpSpPr>
      <xdr:pic>
        <xdr:nvPicPr>
          <xdr:cNvPr id="14" name="Graphic 1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xmlns="" id="{B87252BA-AF28-ED5D-1C24-C4AEE356A9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xmlns="" r:embed="rId5"/>
              </a:ext>
            </a:extLst>
          </a:blip>
          <a:stretch>
            <a:fillRect/>
          </a:stretch>
        </xdr:blipFill>
        <xdr:spPr>
          <a:xfrm>
            <a:off x="333376" y="1352549"/>
            <a:ext cx="394521" cy="360000"/>
          </a:xfrm>
          <a:prstGeom prst="rect">
            <a:avLst/>
          </a:prstGeom>
        </xdr:spPr>
      </xdr:pic>
      <xdr:pic>
        <xdr:nvPicPr>
          <xdr:cNvPr id="15" name="Graphic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xmlns="" id="{1D0A1A47-E80A-E21C-2F83-BFC5C2FFFECF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xmlns="" r:embed="rId8"/>
              </a:ext>
            </a:extLst>
          </a:blip>
          <a:stretch>
            <a:fillRect/>
          </a:stretch>
        </xdr:blipFill>
        <xdr:spPr>
          <a:xfrm>
            <a:off x="1119183" y="1352549"/>
            <a:ext cx="360000" cy="360000"/>
          </a:xfrm>
          <a:prstGeom prst="rect">
            <a:avLst/>
          </a:prstGeom>
        </xdr:spPr>
      </xdr:pic>
      <xdr:pic>
        <xdr:nvPicPr>
          <xdr:cNvPr id="16" name="Graphic 1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xmlns="" id="{EB7E4FDB-4F7F-A6D1-E835-AAC197CE5D4D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1870469" y="1352549"/>
            <a:ext cx="360000" cy="360000"/>
          </a:xfrm>
          <a:prstGeom prst="rect">
            <a:avLst/>
          </a:prstGeom>
        </xdr:spPr>
      </xdr:pic>
      <xdr:pic>
        <xdr:nvPicPr>
          <xdr:cNvPr id="17" name="Graphic 1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xmlns="" id="{D8BDBEFB-9E5E-79A0-CA39-8AA912CBB27A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xmlns="" r:embed="rId13"/>
              </a:ext>
            </a:extLst>
          </a:blip>
          <a:stretch>
            <a:fillRect/>
          </a:stretch>
        </xdr:blipFill>
        <xdr:spPr>
          <a:xfrm>
            <a:off x="2621755" y="1352549"/>
            <a:ext cx="360000" cy="360000"/>
          </a:xfrm>
          <a:prstGeom prst="rect">
            <a:avLst/>
          </a:prstGeom>
        </xdr:spPr>
      </xdr:pic>
      <xdr:pic>
        <xdr:nvPicPr>
          <xdr:cNvPr id="18" name="Graphic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xmlns="" id="{2B8EE8FE-9C21-7AB2-7C82-3C9A351A7D01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xmlns="" r:embed="rId16"/>
              </a:ext>
            </a:extLst>
          </a:blip>
          <a:stretch>
            <a:fillRect/>
          </a:stretch>
        </xdr:blipFill>
        <xdr:spPr>
          <a:xfrm>
            <a:off x="3373041" y="1352549"/>
            <a:ext cx="360000" cy="360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1441707</xdr:colOff>
      <xdr:row>2</xdr:row>
      <xdr:rowOff>174123</xdr:rowOff>
    </xdr:from>
    <xdr:ext cx="3274487" cy="278089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xmlns="" id="{212B1764-C63A-48D4-A367-0EE2AFC7602C}"/>
            </a:ext>
          </a:extLst>
        </xdr:cNvPr>
        <xdr:cNvSpPr/>
      </xdr:nvSpPr>
      <xdr:spPr>
        <a:xfrm>
          <a:off x="6108957" y="1564773"/>
          <a:ext cx="3274487" cy="27808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EG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2- اختر المعادلة المناسبة مع اصدار الاكسل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oneCellAnchor>
  <xdr:oneCellAnchor>
    <xdr:from>
      <xdr:col>2</xdr:col>
      <xdr:colOff>818160</xdr:colOff>
      <xdr:row>3</xdr:row>
      <xdr:rowOff>78873</xdr:rowOff>
    </xdr:from>
    <xdr:ext cx="4578754" cy="278089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xmlns="" id="{DF415520-5001-4C33-946B-E5003520106D}"/>
            </a:ext>
          </a:extLst>
        </xdr:cNvPr>
        <xdr:cNvSpPr/>
      </xdr:nvSpPr>
      <xdr:spPr>
        <a:xfrm>
          <a:off x="5485410" y="2164848"/>
          <a:ext cx="4578754" cy="27808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ar-EG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3-في حالة وجود اي مشكلة او استفسار يمكنك</a:t>
          </a:r>
          <a:r>
            <a:rPr lang="ar-EG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التواصل معي</a:t>
          </a: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0</xdr:row>
      <xdr:rowOff>152400</xdr:rowOff>
    </xdr:from>
    <xdr:to>
      <xdr:col>9</xdr:col>
      <xdr:colOff>666750</xdr:colOff>
      <xdr:row>5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xmlns="" id="{380034B6-4BDB-4CA6-AED1-8A54150358B3}"/>
            </a:ext>
          </a:extLst>
        </xdr:cNvPr>
        <xdr:cNvCxnSpPr/>
      </xdr:nvCxnSpPr>
      <xdr:spPr>
        <a:xfrm flipH="1" flipV="1">
          <a:off x="466725" y="152400"/>
          <a:ext cx="6343650" cy="9239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</xdr:row>
      <xdr:rowOff>161925</xdr:rowOff>
    </xdr:from>
    <xdr:to>
      <xdr:col>16</xdr:col>
      <xdr:colOff>238126</xdr:colOff>
      <xdr:row>4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686A606C-E451-4509-8E15-FA187EC64A17}"/>
            </a:ext>
          </a:extLst>
        </xdr:cNvPr>
        <xdr:cNvSpPr txBox="1"/>
      </xdr:nvSpPr>
      <xdr:spPr>
        <a:xfrm>
          <a:off x="6838950" y="400050"/>
          <a:ext cx="4343401" cy="5715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خلية مساعدة </a:t>
          </a:r>
          <a:r>
            <a:rPr lang="ar-EG" sz="1400"/>
            <a:t>تحتوي علي معادلة مساعده قم بوضعها</a:t>
          </a:r>
          <a:r>
            <a:rPr lang="ar-EG" sz="1400" baseline="0"/>
            <a:t> في مكان مناسب</a:t>
          </a:r>
          <a:endParaRPr lang="en-US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247650</xdr:colOff>
      <xdr:row>5</xdr:row>
      <xdr:rowOff>104775</xdr:rowOff>
    </xdr:from>
    <xdr:to>
      <xdr:col>9</xdr:col>
      <xdr:colOff>657225</xdr:colOff>
      <xdr:row>10</xdr:row>
      <xdr:rowOff>47625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xmlns="" id="{0D9DDB2C-FA3F-43CD-891F-EF05034A0624}"/>
            </a:ext>
          </a:extLst>
        </xdr:cNvPr>
        <xdr:cNvCxnSpPr/>
      </xdr:nvCxnSpPr>
      <xdr:spPr>
        <a:xfrm flipH="1">
          <a:off x="904875" y="1104900"/>
          <a:ext cx="5895975" cy="8953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10</xdr:row>
      <xdr:rowOff>133350</xdr:rowOff>
    </xdr:from>
    <xdr:to>
      <xdr:col>8</xdr:col>
      <xdr:colOff>571501</xdr:colOff>
      <xdr:row>17</xdr:row>
      <xdr:rowOff>57150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10998D99-8F23-4976-8F22-977139089322}"/>
            </a:ext>
          </a:extLst>
        </xdr:cNvPr>
        <xdr:cNvCxnSpPr/>
      </xdr:nvCxnSpPr>
      <xdr:spPr>
        <a:xfrm flipH="1" flipV="1">
          <a:off x="2990850" y="2076450"/>
          <a:ext cx="3038476" cy="20383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10</xdr:row>
      <xdr:rowOff>276225</xdr:rowOff>
    </xdr:from>
    <xdr:to>
      <xdr:col>8</xdr:col>
      <xdr:colOff>561975</xdr:colOff>
      <xdr:row>17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330587A1-4BD0-4C39-8D61-4C8D79107F2B}"/>
            </a:ext>
          </a:extLst>
        </xdr:cNvPr>
        <xdr:cNvCxnSpPr/>
      </xdr:nvCxnSpPr>
      <xdr:spPr>
        <a:xfrm flipH="1" flipV="1">
          <a:off x="1943100" y="2219325"/>
          <a:ext cx="4076700" cy="1905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10</xdr:row>
      <xdr:rowOff>95250</xdr:rowOff>
    </xdr:from>
    <xdr:to>
      <xdr:col>10</xdr:col>
      <xdr:colOff>676275</xdr:colOff>
      <xdr:row>10</xdr:row>
      <xdr:rowOff>247650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xmlns="" id="{1E48AB4E-C86D-4394-8D7B-1FA187DE8DDD}"/>
            </a:ext>
          </a:extLst>
        </xdr:cNvPr>
        <xdr:cNvCxnSpPr/>
      </xdr:nvCxnSpPr>
      <xdr:spPr>
        <a:xfrm flipH="1" flipV="1">
          <a:off x="4067175" y="2038350"/>
          <a:ext cx="3438525" cy="1524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247650</xdr:rowOff>
    </xdr:from>
    <xdr:to>
      <xdr:col>11</xdr:col>
      <xdr:colOff>9525</xdr:colOff>
      <xdr:row>10</xdr:row>
      <xdr:rowOff>266700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xmlns="" id="{F3E314EC-138A-4FA0-AB18-F804FB3A26D9}"/>
            </a:ext>
          </a:extLst>
        </xdr:cNvPr>
        <xdr:cNvCxnSpPr/>
      </xdr:nvCxnSpPr>
      <xdr:spPr>
        <a:xfrm flipH="1">
          <a:off x="3057525" y="2190750"/>
          <a:ext cx="4467225" cy="190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10</xdr:row>
      <xdr:rowOff>47625</xdr:rowOff>
    </xdr:from>
    <xdr:to>
      <xdr:col>17</xdr:col>
      <xdr:colOff>276226</xdr:colOff>
      <xdr:row>10</xdr:row>
      <xdr:rowOff>619125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F7C77AB8-4157-4DF4-89F4-01F443616FDB}"/>
            </a:ext>
          </a:extLst>
        </xdr:cNvPr>
        <xdr:cNvSpPr txBox="1"/>
      </xdr:nvSpPr>
      <xdr:spPr>
        <a:xfrm>
          <a:off x="7562850" y="2000250"/>
          <a:ext cx="4343401" cy="5715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1400">
              <a:latin typeface="+mn-lt"/>
              <a:ea typeface="+mn-ea"/>
              <a:cs typeface="+mn-cs"/>
            </a:rPr>
            <a:t>رقم</a:t>
          </a:r>
          <a:r>
            <a:rPr lang="ar-EG" sz="1400" baseline="0">
              <a:latin typeface="+mn-lt"/>
              <a:ea typeface="+mn-ea"/>
              <a:cs typeface="+mn-cs"/>
            </a:rPr>
            <a:t> اول عمود قم بتعدلة اذا قمت بتعديل مكان التقويم</a:t>
          </a:r>
          <a:endParaRPr lang="en-US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581025</xdr:colOff>
      <xdr:row>15</xdr:row>
      <xdr:rowOff>114300</xdr:rowOff>
    </xdr:from>
    <xdr:to>
      <xdr:col>15</xdr:col>
      <xdr:colOff>123826</xdr:colOff>
      <xdr:row>18</xdr:row>
      <xdr:rowOff>114300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E61252D4-85A6-46BB-8EC4-9CFC739E95F0}"/>
            </a:ext>
          </a:extLst>
        </xdr:cNvPr>
        <xdr:cNvSpPr txBox="1"/>
      </xdr:nvSpPr>
      <xdr:spPr>
        <a:xfrm>
          <a:off x="6038850" y="3810000"/>
          <a:ext cx="4343401" cy="5429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1400">
              <a:latin typeface="+mn-lt"/>
              <a:ea typeface="+mn-ea"/>
              <a:cs typeface="+mn-cs"/>
            </a:rPr>
            <a:t>رقم</a:t>
          </a:r>
          <a:r>
            <a:rPr lang="ar-EG" sz="1400" baseline="0">
              <a:latin typeface="+mn-lt"/>
              <a:ea typeface="+mn-ea"/>
              <a:cs typeface="+mn-cs"/>
            </a:rPr>
            <a:t> اول صف قم بتعدلة اذا قمت بتعديل مكان التقويم</a:t>
          </a:r>
          <a:endParaRPr lang="en-US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4</xdr:row>
      <xdr:rowOff>171450</xdr:rowOff>
    </xdr:from>
    <xdr:to>
      <xdr:col>9</xdr:col>
      <xdr:colOff>381000</xdr:colOff>
      <xdr:row>10</xdr:row>
      <xdr:rowOff>219075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1719FBF0-44EB-F274-A602-D7A72478E565}"/>
            </a:ext>
          </a:extLst>
        </xdr:cNvPr>
        <xdr:cNvCxnSpPr/>
      </xdr:nvCxnSpPr>
      <xdr:spPr>
        <a:xfrm flipH="1">
          <a:off x="2114550" y="981075"/>
          <a:ext cx="4505325" cy="11906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10</xdr:row>
      <xdr:rowOff>295275</xdr:rowOff>
    </xdr:from>
    <xdr:to>
      <xdr:col>10</xdr:col>
      <xdr:colOff>114300</xdr:colOff>
      <xdr:row>10</xdr:row>
      <xdr:rowOff>962025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xmlns="" id="{74957A6E-B3BD-49B5-A364-8724DEE82D94}"/>
            </a:ext>
          </a:extLst>
        </xdr:cNvPr>
        <xdr:cNvCxnSpPr/>
      </xdr:nvCxnSpPr>
      <xdr:spPr>
        <a:xfrm flipH="1" flipV="1">
          <a:off x="2990850" y="2247900"/>
          <a:ext cx="4048125" cy="6667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438149</xdr:colOff>
      <xdr:row>3</xdr:row>
      <xdr:rowOff>133350</xdr:rowOff>
    </xdr:from>
    <xdr:to>
      <xdr:col>15</xdr:col>
      <xdr:colOff>666750</xdr:colOff>
      <xdr:row>9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9E024497-6D97-43F7-B326-0A899EE8FC8C}"/>
            </a:ext>
          </a:extLst>
        </xdr:cNvPr>
        <xdr:cNvSpPr txBox="1"/>
      </xdr:nvSpPr>
      <xdr:spPr>
        <a:xfrm>
          <a:off x="6677024" y="752475"/>
          <a:ext cx="4343401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$A$1 :</a:t>
          </a:r>
          <a:r>
            <a:rPr lang="ar-EG" sz="14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الخلية</a:t>
          </a:r>
          <a:r>
            <a:rPr lang="ar-EG" sz="1400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التي تحتوي علي الشهر قم بتغيرها </a:t>
          </a:r>
          <a:r>
            <a:rPr lang="en-US" sz="14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ar-EG" sz="1400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علي حسب رغبتك</a:t>
          </a:r>
          <a:endParaRPr lang="en-US" sz="14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en-US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10</xdr:col>
      <xdr:colOff>152399</xdr:colOff>
      <xdr:row>10</xdr:row>
      <xdr:rowOff>590550</xdr:rowOff>
    </xdr:from>
    <xdr:to>
      <xdr:col>16</xdr:col>
      <xdr:colOff>381000</xdr:colOff>
      <xdr:row>11</xdr:row>
      <xdr:rowOff>180975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4BC9730F-EE76-433A-8E25-1EA6E8CB5EA8}"/>
            </a:ext>
          </a:extLst>
        </xdr:cNvPr>
        <xdr:cNvSpPr txBox="1"/>
      </xdr:nvSpPr>
      <xdr:spPr>
        <a:xfrm>
          <a:off x="7077074" y="2543175"/>
          <a:ext cx="4343401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$B$1 :</a:t>
          </a:r>
          <a:r>
            <a:rPr lang="ar-EG" sz="14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الخلية</a:t>
          </a:r>
          <a:r>
            <a:rPr lang="ar-EG" sz="1400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التي تحتوي علي السنة قم بتغيرها </a:t>
          </a:r>
          <a:r>
            <a:rPr lang="en-US" sz="140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ar-EG" sz="1400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علي حسب رغبتك</a:t>
          </a:r>
          <a:endParaRPr lang="en-US" sz="14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en-US" sz="14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vanced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Home"/>
      <sheetName val="video"/>
      <sheetName val="shorts"/>
      <sheetName val="Combo"/>
      <sheetName val="Advanced Exc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"/>
  <sheetViews>
    <sheetView showGridLines="0" zoomScaleNormal="100" zoomScaleSheetLayoutView="100" workbookViewId="0">
      <selection activeCell="E5" sqref="E5"/>
    </sheetView>
  </sheetViews>
  <sheetFormatPr defaultColWidth="0" defaultRowHeight="14.25" customHeight="1" zeroHeight="1"/>
  <cols>
    <col min="1" max="5" width="30.625" customWidth="1"/>
    <col min="6" max="16384" width="9" hidden="1"/>
  </cols>
  <sheetData>
    <row r="1" s="1" customFormat="1" ht="54.95" customHeight="1" thickBot="1"/>
    <row r="2" ht="54.95" customHeight="1" thickTop="1"/>
    <row r="3" ht="54.95" customHeight="1"/>
    <row r="4" ht="54.95" customHeight="1"/>
    <row r="5" ht="54.95" customHeight="1"/>
  </sheetData>
  <sheetProtection sheet="1" objects="1" scenarios="1" selectLockedCells="1" selectUnlockedCells="1"/>
  <pageMargins left="0.25" right="0.25" top="0.75" bottom="0.75" header="0.3" footer="0.3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alendar"/>
  <dimension ref="A1:K11"/>
  <sheetViews>
    <sheetView zoomScaleNormal="100" workbookViewId="0"/>
  </sheetViews>
  <sheetFormatPr defaultRowHeight="14.25"/>
  <cols>
    <col min="1" max="1" width="8.625" style="4" bestFit="1" customWidth="1"/>
    <col min="2" max="16384" width="9" style="4"/>
  </cols>
  <sheetData>
    <row r="1" spans="1:11" ht="18.75" thickBot="1">
      <c r="A1" s="2">
        <f>DATE(YEAR(DATEVALUE($B$1&amp;"-"&amp;$C$1)),MONTH(DATEVALUE($B$1&amp;"-"&amp;$C$1)),1)</f>
        <v>46113</v>
      </c>
      <c r="B1" s="3">
        <v>4</v>
      </c>
      <c r="C1" s="3">
        <v>2026</v>
      </c>
    </row>
    <row r="2" spans="1:11" ht="15.7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spans="1:11" ht="15">
      <c r="A3" s="8" t="str">
        <f>IF(MONTH($A$1-(WEEKDAY($A$1)-1)+((ROW(A3)-3)*7)+COLUMN(A3)-1)=$B$1,TEXT($A$1-(WEEKDAY($A$1)-1)+((ROW(A3)-3)*7)+COLUMN(A3)-1,"dd"),"")</f>
        <v/>
      </c>
      <c r="B3" s="8" t="str">
        <f t="shared" ref="B3:G8" si="0">IF(MONTH($A$1-(WEEKDAY($A$1)-1)+((ROW(B3)-3)*7)+COLUMN(B3)-1)=$B$1,TEXT($A$1-(WEEKDAY($A$1)-1)+((ROW(B3)-3)*7)+COLUMN(B3)-1,"dd"),"")</f>
        <v/>
      </c>
      <c r="C3" s="8" t="str">
        <f t="shared" si="0"/>
        <v/>
      </c>
      <c r="D3" s="8" t="str">
        <f t="shared" si="0"/>
        <v>01</v>
      </c>
      <c r="E3" s="8" t="str">
        <f t="shared" si="0"/>
        <v>02</v>
      </c>
      <c r="F3" s="8" t="str">
        <f t="shared" si="0"/>
        <v>03</v>
      </c>
      <c r="G3" s="8" t="str">
        <f t="shared" si="0"/>
        <v>04</v>
      </c>
      <c r="H3" s="9">
        <f>WEEKNUM(DATE($C$1,$B$1,1))</f>
        <v>14</v>
      </c>
    </row>
    <row r="4" spans="1:11" ht="15">
      <c r="A4" s="8" t="str">
        <f t="shared" ref="A4:A8" si="1">IF(MONTH($A$1-(WEEKDAY($A$1)-1)+((ROW(A4)-3)*7)+COLUMN(A4)-1)=$B$1,TEXT($A$1-(WEEKDAY($A$1)-1)+((ROW(A4)-3)*7)+COLUMN(A4)-1,"dd"),"")</f>
        <v>05</v>
      </c>
      <c r="B4" s="8" t="str">
        <f t="shared" si="0"/>
        <v>06</v>
      </c>
      <c r="C4" s="8" t="str">
        <f t="shared" si="0"/>
        <v>07</v>
      </c>
      <c r="D4" s="8" t="str">
        <f t="shared" si="0"/>
        <v>08</v>
      </c>
      <c r="E4" s="8" t="str">
        <f t="shared" si="0"/>
        <v>09</v>
      </c>
      <c r="F4" s="8" t="str">
        <f t="shared" si="0"/>
        <v>10</v>
      </c>
      <c r="G4" s="8" t="str">
        <f t="shared" si="0"/>
        <v>11</v>
      </c>
      <c r="H4" s="9">
        <f>WEEKNUM(DATE($C$1,$B$1,7))</f>
        <v>15</v>
      </c>
    </row>
    <row r="5" spans="1:11" ht="15">
      <c r="A5" s="8" t="str">
        <f t="shared" si="1"/>
        <v>12</v>
      </c>
      <c r="B5" s="8" t="str">
        <f t="shared" si="0"/>
        <v>13</v>
      </c>
      <c r="C5" s="8" t="str">
        <f t="shared" si="0"/>
        <v>14</v>
      </c>
      <c r="D5" s="8" t="str">
        <f t="shared" si="0"/>
        <v>15</v>
      </c>
      <c r="E5" s="8" t="str">
        <f t="shared" si="0"/>
        <v>16</v>
      </c>
      <c r="F5" s="8" t="str">
        <f t="shared" si="0"/>
        <v>17</v>
      </c>
      <c r="G5" s="8" t="str">
        <f t="shared" si="0"/>
        <v>18</v>
      </c>
      <c r="H5" s="9">
        <f>WEEKNUM(DATE($C$1,$B$1,14))</f>
        <v>16</v>
      </c>
    </row>
    <row r="6" spans="1:11" ht="15">
      <c r="A6" s="8" t="str">
        <f t="shared" si="1"/>
        <v>19</v>
      </c>
      <c r="B6" s="8" t="str">
        <f t="shared" si="0"/>
        <v>20</v>
      </c>
      <c r="C6" s="8" t="str">
        <f t="shared" si="0"/>
        <v>21</v>
      </c>
      <c r="D6" s="8" t="str">
        <f t="shared" si="0"/>
        <v>22</v>
      </c>
      <c r="E6" s="8" t="str">
        <f t="shared" si="0"/>
        <v>23</v>
      </c>
      <c r="F6" s="8" t="str">
        <f t="shared" si="0"/>
        <v>24</v>
      </c>
      <c r="G6" s="8" t="str">
        <f t="shared" si="0"/>
        <v>25</v>
      </c>
      <c r="H6" s="9">
        <f>WEEKNUM(DATE($C$1,$B$1,21))</f>
        <v>17</v>
      </c>
      <c r="K6" s="10" t="s">
        <v>10</v>
      </c>
    </row>
    <row r="7" spans="1:11" ht="15">
      <c r="A7" s="8" t="str">
        <f t="shared" si="1"/>
        <v>26</v>
      </c>
      <c r="B7" s="8" t="str">
        <f t="shared" si="0"/>
        <v>27</v>
      </c>
      <c r="C7" s="8" t="str">
        <f t="shared" si="0"/>
        <v>28</v>
      </c>
      <c r="D7" s="8" t="str">
        <f t="shared" si="0"/>
        <v>29</v>
      </c>
      <c r="E7" s="8" t="str">
        <f t="shared" si="0"/>
        <v>30</v>
      </c>
      <c r="F7" s="8" t="str">
        <f t="shared" si="0"/>
        <v/>
      </c>
      <c r="G7" s="8" t="str">
        <f t="shared" si="0"/>
        <v/>
      </c>
      <c r="H7" s="9">
        <f>WEEKNUM(DATE($C$1,$B$1,28))</f>
        <v>18</v>
      </c>
    </row>
    <row r="8" spans="1:11" ht="15">
      <c r="A8" s="8" t="str">
        <f t="shared" si="1"/>
        <v/>
      </c>
      <c r="B8" s="8" t="str">
        <f t="shared" si="0"/>
        <v/>
      </c>
      <c r="C8" s="8" t="str">
        <f t="shared" si="0"/>
        <v/>
      </c>
      <c r="D8" s="8" t="str">
        <f t="shared" si="0"/>
        <v/>
      </c>
      <c r="E8" s="8" t="str">
        <f t="shared" si="0"/>
        <v/>
      </c>
      <c r="F8" s="8" t="str">
        <f t="shared" si="0"/>
        <v/>
      </c>
      <c r="G8" s="8" t="str">
        <f t="shared" si="0"/>
        <v/>
      </c>
      <c r="H8" s="9">
        <f>WEEKNUM(DATE($C$1,$B$1,31))</f>
        <v>18</v>
      </c>
    </row>
    <row r="11" spans="1:11" ht="81" customHeight="1">
      <c r="A11" s="12" t="s">
        <v>8</v>
      </c>
      <c r="B11" s="12"/>
      <c r="C11" s="12"/>
      <c r="D11" s="12"/>
      <c r="E11" s="12"/>
      <c r="F11" s="12"/>
      <c r="G11" s="12"/>
      <c r="H11" s="12"/>
    </row>
  </sheetData>
  <sheetProtection sheet="1" objects="1" scenarios="1"/>
  <mergeCells count="1">
    <mergeCell ref="A11:H11"/>
  </mergeCells>
  <dataValidations count="1">
    <dataValidation type="list" allowBlank="1" showInputMessage="1" showErrorMessage="1" sqref="B1">
      <formula1>"1,2,3,4,5,6,7,8,9,10,11,12"</formula1>
    </dataValidation>
  </dataValidations>
  <pageMargins left="0.7" right="0.7" top="0.75" bottom="0.75" header="0.3" footer="0.3"/>
  <pageSetup paperSize="9" orientation="portrait" r:id="rId1"/>
  <ignoredErrors>
    <ignoredError sqref="A3:G8 A1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1" sqref="A11:H11"/>
    </sheetView>
  </sheetViews>
  <sheetFormatPr defaultRowHeight="14.25"/>
  <cols>
    <col min="1" max="1" width="9.875" style="4" bestFit="1" customWidth="1"/>
    <col min="2" max="16384" width="9" style="4"/>
  </cols>
  <sheetData>
    <row r="1" spans="1:8" ht="18.75" thickBot="1">
      <c r="A1" s="3">
        <v>9</v>
      </c>
      <c r="B1" s="3">
        <v>2026</v>
      </c>
    </row>
    <row r="2" spans="1:8" ht="15.7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spans="1:8" ht="15">
      <c r="A3" s="8" t="str" cm="1">
        <f t="array" ref="A3:G8">_xlfn.LET(
    _xlpm.BaseDate,  DATEVALUE($A$1&amp;"-"&amp;$B$1),
    _xlpm.FirstDay,  DATE(YEAR(_xlpm.BaseDate), MONTH(_xlpm.BaseDate), 1),
    _xlpm.StartDate, _xlpm.FirstDay - WEEKDAY(_xlpm.FirstDay) + 1,
    _xlpm.CalGrid,   _xlfn.SEQUENCE(6, 7, _xlpm.StartDate, 1),
    IF(MONTH(_xlpm.CalGrid) = MONTH(_xlpm.FirstDay), TEXT(_xlpm.CalGrid,"dd"), "")
)</f>
        <v/>
      </c>
      <c r="B3" s="8" t="str">
        <v/>
      </c>
      <c r="C3" s="8" t="str">
        <v>01</v>
      </c>
      <c r="D3" s="8" t="str">
        <v>02</v>
      </c>
      <c r="E3" s="8" t="str">
        <v>03</v>
      </c>
      <c r="F3" s="8" t="str">
        <v>04</v>
      </c>
      <c r="G3" s="8" t="str">
        <v>05</v>
      </c>
      <c r="H3" s="9">
        <f>WEEKNUM(DATE($B$1,$A$1,1))</f>
        <v>36</v>
      </c>
    </row>
    <row r="4" spans="1:8" ht="15">
      <c r="A4" s="8" t="str">
        <v>06</v>
      </c>
      <c r="B4" s="8" t="str">
        <v>07</v>
      </c>
      <c r="C4" s="8" t="str">
        <v>08</v>
      </c>
      <c r="D4" s="8" t="str">
        <v>09</v>
      </c>
      <c r="E4" s="8" t="str">
        <v>10</v>
      </c>
      <c r="F4" s="8" t="str">
        <v>11</v>
      </c>
      <c r="G4" s="8" t="str">
        <v>12</v>
      </c>
      <c r="H4" s="9">
        <f>WEEKNUM(DATE($B$1,$A$1,7))</f>
        <v>37</v>
      </c>
    </row>
    <row r="5" spans="1:8" ht="15">
      <c r="A5" s="8" t="str">
        <v>13</v>
      </c>
      <c r="B5" s="8" t="str">
        <v>14</v>
      </c>
      <c r="C5" s="8" t="str">
        <v>15</v>
      </c>
      <c r="D5" s="8" t="str">
        <v>16</v>
      </c>
      <c r="E5" s="8" t="str">
        <v>17</v>
      </c>
      <c r="F5" s="8" t="str">
        <v>18</v>
      </c>
      <c r="G5" s="8" t="str">
        <v>19</v>
      </c>
      <c r="H5" s="9">
        <f>WEEKNUM(DATE($B$1,$A$1,14))</f>
        <v>38</v>
      </c>
    </row>
    <row r="6" spans="1:8" ht="15">
      <c r="A6" s="8" t="str">
        <v>20</v>
      </c>
      <c r="B6" s="8" t="str">
        <v>21</v>
      </c>
      <c r="C6" s="8" t="str">
        <v>22</v>
      </c>
      <c r="D6" s="8" t="str">
        <v>23</v>
      </c>
      <c r="E6" s="8" t="str">
        <v>24</v>
      </c>
      <c r="F6" s="8" t="str">
        <v>25</v>
      </c>
      <c r="G6" s="8" t="str">
        <v>26</v>
      </c>
      <c r="H6" s="9">
        <f>WEEKNUM(DATE($B$1,$A$1,21))</f>
        <v>39</v>
      </c>
    </row>
    <row r="7" spans="1:8" ht="15">
      <c r="A7" s="8" t="str">
        <v>27</v>
      </c>
      <c r="B7" s="8" t="str">
        <v>28</v>
      </c>
      <c r="C7" s="8" t="str">
        <v>29</v>
      </c>
      <c r="D7" s="8" t="str">
        <v>30</v>
      </c>
      <c r="E7" s="8" t="str">
        <v/>
      </c>
      <c r="F7" s="8" t="str">
        <v/>
      </c>
      <c r="G7" s="8" t="str">
        <v/>
      </c>
      <c r="H7" s="9">
        <f>WEEKNUM(DATE($B$1,$A$1,28))</f>
        <v>40</v>
      </c>
    </row>
    <row r="8" spans="1:8" ht="15">
      <c r="A8" s="8" t="str">
        <v/>
      </c>
      <c r="B8" s="8" t="str">
        <v/>
      </c>
      <c r="C8" s="8" t="str">
        <v/>
      </c>
      <c r="D8" s="8" t="str">
        <v/>
      </c>
      <c r="E8" s="8" t="str">
        <v/>
      </c>
      <c r="F8" s="8" t="str">
        <v/>
      </c>
      <c r="G8" s="8" t="str">
        <v/>
      </c>
      <c r="H8" s="9">
        <f>WEEKNUM(DATE($B$1,$A$1,31))</f>
        <v>40</v>
      </c>
    </row>
    <row r="11" spans="1:8" ht="119.25" customHeight="1">
      <c r="A11" s="11" t="s">
        <v>9</v>
      </c>
      <c r="B11" s="11"/>
      <c r="C11" s="11"/>
      <c r="D11" s="11"/>
      <c r="E11" s="11"/>
      <c r="F11" s="11"/>
      <c r="G11" s="11"/>
      <c r="H11" s="11"/>
    </row>
  </sheetData>
  <sheetProtection sheet="1" objects="1" scenarios="1"/>
  <mergeCells count="1">
    <mergeCell ref="A11:H11"/>
  </mergeCells>
  <conditionalFormatting sqref="A3:G8">
    <cfRule type="expression" dxfId="0" priority="2">
      <formula>A3=TODAY()</formula>
    </cfRule>
  </conditionalFormatting>
  <dataValidations count="1">
    <dataValidation type="list" allowBlank="1" showInputMessage="1" showErrorMessage="1" sqref="A1">
      <formula1>"1,2,3,4,5,6,7,8,9,10,11,12"</formula1>
    </dataValidation>
  </dataValidations>
  <pageMargins left="0.7" right="0.7" top="0.75" bottom="0.75" header="0.3" footer="0.3"/>
  <ignoredErrors>
    <ignoredError sqref="A3:G8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تعليمات</vt:lpstr>
      <vt:lpstr>&lt;2021</vt:lpstr>
      <vt:lpstr>&gt;=2021</vt:lpstr>
      <vt:lpstr>تعليمات!Print_Area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samir</dc:creator>
  <cp:lastModifiedBy>ahmed</cp:lastModifiedBy>
  <dcterms:created xsi:type="dcterms:W3CDTF">2026-04-21T04:06:17Z</dcterms:created>
  <dcterms:modified xsi:type="dcterms:W3CDTF">2026-04-21T17:37:37Z</dcterms:modified>
</cp:coreProperties>
</file>