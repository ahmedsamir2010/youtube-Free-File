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hmed\OneDrive\Desktop\"/>
    </mc:Choice>
  </mc:AlternateContent>
  <xr:revisionPtr revIDLastSave="0" documentId="13_ncr:1_{38BCACA7-9FB5-4480-8FEA-CAB057065251}" xr6:coauthVersionLast="47" xr6:coauthVersionMax="47" xr10:uidLastSave="{00000000-0000-0000-0000-000000000000}"/>
  <bookViews>
    <workbookView xWindow="-120" yWindow="-120" windowWidth="19800" windowHeight="11760" activeTab="4" xr2:uid="{A3BA6470-08F6-4AA0-8BC7-EAB83C859F03}"/>
  </bookViews>
  <sheets>
    <sheet name="Home" sheetId="4" r:id="rId1"/>
    <sheet name="الارقام" sheetId="18" r:id="rId2"/>
    <sheet name="الرموز" sheetId="20" r:id="rId3"/>
    <sheet name="الالوان" sheetId="21" r:id="rId4"/>
    <sheet name="التاريخ" sheetId="19" r:id="rId5"/>
    <sheet name="النصوص" sheetId="22" r:id="rId6"/>
  </sheets>
  <definedNames>
    <definedName name="ee" hidden="1">{"FirstQ",#N/A,FALSE,"Budget2000";"SecondQ",#N/A,FALSE,"Budget2000";"Summary",#N/A,FALSE,"Budget2000"}</definedName>
    <definedName name="k" hidden="1">{"FirstQ",#N/A,FALSE,"Budget2000";"SecondQ",#N/A,FALSE,"Budget2000";"Summary",#N/A,FALSE,"Budget2000"}</definedName>
    <definedName name="list">_xlfn.LAMBDA(_xlpm.cell, _xlfn.LET( _xlpm.list,_xlfn.VSTACK("*",_xlfn.TOCOL(_xlfn.UNIQUE(#REF!),3)), _xlpm.newlist,_xlfn._xlws.FILTER(_xlpm.list,NOT(ISNUMBER(_xlfn.XMATCH(_xlpm.list,_xlpm.cell))),""), _xlpm.newlist))</definedName>
    <definedName name="MName">_xlfn.LAMBDA(_xlpm.m,TEXT(DATE(2026,_xlpm.m,1),"mmmm"))</definedName>
    <definedName name="Name">#REF!</definedName>
    <definedName name="_xlnm.Print_Area" localSheetId="0">Home!$A$1:$E$5</definedName>
    <definedName name="_xlnm.Print_Area" localSheetId="1">الارقام!$I$3:$M$8</definedName>
    <definedName name="_xlnm.Print_Area" localSheetId="3">الالوان!$I$1:$L$37</definedName>
    <definedName name="_xlnm.Print_Area" localSheetId="4">التاريخ!$F$1:$J$12</definedName>
    <definedName name="_xlnm.Print_Area" localSheetId="2">الرموز!$H$1:$V$24</definedName>
    <definedName name="_xlnm.Print_Area" localSheetId="5">النصوص!$F$1:$J$9</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RRR" hidden="1">{"FirstQ",#N/A,FALSE,"Budget2000";"SecondQ",#N/A,FALSE,"Budget2000"}</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 name="فبراير">#REF!</definedName>
    <definedName name="مارس">#REF!</definedName>
    <definedName name="يناير">#REF!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8" l="1"/>
  <c r="L6" i="18"/>
  <c r="L5" i="18"/>
  <c r="F5" i="18"/>
  <c r="F5" i="21"/>
  <c r="F6" i="21"/>
  <c r="F7" i="21"/>
  <c r="F8" i="21"/>
  <c r="F4" i="21"/>
  <c r="F7" i="18"/>
  <c r="F8" i="18"/>
  <c r="F9" i="20"/>
  <c r="F8" i="20"/>
  <c r="F7" i="20"/>
  <c r="F6" i="20"/>
  <c r="F5" i="20"/>
  <c r="F4" i="20"/>
</calcChain>
</file>

<file path=xl/sharedStrings.xml><?xml version="1.0" encoding="utf-8"?>
<sst xmlns="http://schemas.openxmlformats.org/spreadsheetml/2006/main" count="149" uniqueCount="119">
  <si>
    <t>كود المنتج</t>
  </si>
  <si>
    <t>الكمية المباعة</t>
  </si>
  <si>
    <t>السعر</t>
  </si>
  <si>
    <t>A10S8</t>
  </si>
  <si>
    <t>B10A2</t>
  </si>
  <si>
    <t>B10A3</t>
  </si>
  <si>
    <t>B2R5</t>
  </si>
  <si>
    <t>A8R9</t>
  </si>
  <si>
    <t>A4D9</t>
  </si>
  <si>
    <t>امر التوريد</t>
  </si>
  <si>
    <t xml:space="preserve">الكمية </t>
  </si>
  <si>
    <t>المطلوب</t>
  </si>
  <si>
    <t>الفرق</t>
  </si>
  <si>
    <t>123/12</t>
  </si>
  <si>
    <t>123/11</t>
  </si>
  <si>
    <t>123/10</t>
  </si>
  <si>
    <t>123/9</t>
  </si>
  <si>
    <t>123/8</t>
  </si>
  <si>
    <t>123/7</t>
  </si>
  <si>
    <t>Emoji</t>
  </si>
  <si>
    <t>▲</t>
  </si>
  <si>
    <t>▼</t>
  </si>
  <si>
    <t>►</t>
  </si>
  <si>
    <t>◄</t>
  </si>
  <si>
    <t>Arrow</t>
  </si>
  <si>
    <t>Hand</t>
  </si>
  <si>
    <t>Color</t>
  </si>
  <si>
    <t>Number</t>
  </si>
  <si>
    <t>[Color 1]</t>
  </si>
  <si>
    <t>[Color 2]</t>
  </si>
  <si>
    <t>[Color 3]</t>
  </si>
  <si>
    <t>[Color 4]</t>
  </si>
  <si>
    <t>[Color 5]</t>
  </si>
  <si>
    <t>[Color 6]</t>
  </si>
  <si>
    <t>[Color 7]</t>
  </si>
  <si>
    <t>[Color 8]</t>
  </si>
  <si>
    <t>[Color 9]</t>
  </si>
  <si>
    <t>[Color 10]</t>
  </si>
  <si>
    <t>[Color 11]</t>
  </si>
  <si>
    <t>[Color 12]</t>
  </si>
  <si>
    <t>[Color 13]</t>
  </si>
  <si>
    <t>[Color 14]</t>
  </si>
  <si>
    <t>[Color 15]</t>
  </si>
  <si>
    <t>[Color 16]</t>
  </si>
  <si>
    <t>[Color 17]</t>
  </si>
  <si>
    <t>[Color 18]</t>
  </si>
  <si>
    <t>[Color 19]</t>
  </si>
  <si>
    <t>[Color 20]</t>
  </si>
  <si>
    <t>[Color 21]</t>
  </si>
  <si>
    <t>[Color 22]</t>
  </si>
  <si>
    <t>[Color 23]</t>
  </si>
  <si>
    <t>[Color 24]</t>
  </si>
  <si>
    <t>[Color 25]</t>
  </si>
  <si>
    <t>[Color 26]</t>
  </si>
  <si>
    <t>[Color 27]</t>
  </si>
  <si>
    <t>[Color 28]</t>
  </si>
  <si>
    <t>[Color 29]</t>
  </si>
  <si>
    <t>[Color 30]</t>
  </si>
  <si>
    <t>[Color 31]</t>
  </si>
  <si>
    <t>[Color 32]</t>
  </si>
  <si>
    <t>[Color 33]</t>
  </si>
  <si>
    <t>[Color 34]</t>
  </si>
  <si>
    <t>[Color 35]</t>
  </si>
  <si>
    <t>[Color 36]</t>
  </si>
  <si>
    <t>[Color 37]</t>
  </si>
  <si>
    <t>[Color 38]</t>
  </si>
  <si>
    <t>[Color 39]</t>
  </si>
  <si>
    <t>[Color 40]</t>
  </si>
  <si>
    <t>[Color 41]</t>
  </si>
  <si>
    <t>[Color 42]</t>
  </si>
  <si>
    <t>[Color 43]</t>
  </si>
  <si>
    <t>[Color 44]</t>
  </si>
  <si>
    <t>[Color 45]</t>
  </si>
  <si>
    <t>[Color 46]</t>
  </si>
  <si>
    <t>[Color 47]</t>
  </si>
  <si>
    <t>[Color 48]</t>
  </si>
  <si>
    <t>[Color 49]</t>
  </si>
  <si>
    <t>[Color 50]</t>
  </si>
  <si>
    <t>[Color 51]</t>
  </si>
  <si>
    <t>[Color 52]</t>
  </si>
  <si>
    <t>[Color 53]</t>
  </si>
  <si>
    <t>[Color 54]</t>
  </si>
  <si>
    <t>[Color 55]</t>
  </si>
  <si>
    <t>[Color 56]</t>
  </si>
  <si>
    <t>✔</t>
  </si>
  <si>
    <t>❌</t>
  </si>
  <si>
    <t>❎</t>
  </si>
  <si>
    <t>☑</t>
  </si>
  <si>
    <t>Check</t>
  </si>
  <si>
    <t>dd-mm-yy</t>
  </si>
  <si>
    <t>dddd dd mmm, yyyy</t>
  </si>
  <si>
    <t>ddd d mmm</t>
  </si>
  <si>
    <t>ddd dd</t>
  </si>
  <si>
    <t>mmm-yy</t>
  </si>
  <si>
    <t>yyyy-mm</t>
  </si>
  <si>
    <t>mmm d, yyyy</t>
  </si>
  <si>
    <t>التاريخ قبل التنسيق</t>
  </si>
  <si>
    <t>كود التنسيق</t>
  </si>
  <si>
    <t>بعد التنسيق</t>
  </si>
  <si>
    <t>التاريخ</t>
  </si>
  <si>
    <t>Sign:</t>
  </si>
  <si>
    <t>Pg 10</t>
  </si>
  <si>
    <t>الاسم</t>
  </si>
  <si>
    <t>تم إنشاء محتوى هذا الملف بواسطة أ. أحمد سمير.
يُسمح للمستخدمين الأفراد بإعادة إنشاء الأمثلة للتدريب الشخصي فقط.
لا يُسمح بإعادة إنشاء الأمثلة للتدريب أو العرض التوضيحي للآخرين، إلا بموافقة خطية من أ.أحمد سمير.
يجب أن تبقى هذه الصفحة في أي ملف يستخدم هذه البيانات أو هذه التقنيات.</t>
  </si>
  <si>
    <t>اجمالي المبيعات</t>
  </si>
  <si>
    <t>احمد</t>
  </si>
  <si>
    <t>سمير</t>
  </si>
  <si>
    <t>يوسف</t>
  </si>
  <si>
    <t>علي</t>
  </si>
  <si>
    <t>إبراهيم</t>
  </si>
  <si>
    <t>الرقم قبل التنسيق</t>
  </si>
  <si>
    <t>قبل التنسيق</t>
  </si>
  <si>
    <t>@*_</t>
  </si>
  <si>
    <t>*.@</t>
  </si>
  <si>
    <t>$00.0,"K";-"$"00.0,"K"</t>
  </si>
  <si>
    <t>#.#" km"</t>
  </si>
  <si>
    <t>الباقي</t>
  </si>
  <si>
    <t>asdsad</t>
  </si>
  <si>
    <t>"$"#.00,,"M";-"$"#.00,,"M"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</si>
</sst>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quot;$&quot;* #,##0.00_);_(&quot;$&quot;* \(#,##0.00\);_(&quot;$&quot;* &quot;-&quot;??_);_(@_)"/>
    <numFmt numFmtId="165" formatCode="[&gt;80]&quot;👏&quot;;[&gt;50]&quot;👌&quot;;&quot;👎&quot;"/>
    <numFmt numFmtId="166" formatCode="[&gt;30]&quot;🥵&quot;;[&gt;20]&quot;😎&quot;;\_xd83e_\_xdd76_"/>
    <numFmt numFmtId="167" formatCode="dd\-mm\-yy"/>
    <numFmt numFmtId="168" formatCode="dddd\ dd\ mmm\,\ yyyy"/>
    <numFmt numFmtId="169" formatCode="ddd\ d\ mmm"/>
    <numFmt numFmtId="170" formatCode="ddd\ dd"/>
    <numFmt numFmtId="171" formatCode="yyyy\-mm"/>
    <numFmt numFmtId="172" formatCode="mmm\ d\,\ yyyy"/>
    <numFmt numFmtId="173" formatCode="@*_"/>
    <numFmt numFmtId="174" formatCode="*.@"/>
    <numFmt numFmtId="175" formatCode="&quot;$&quot;#,##0.00,,&quot;M&quot;;\-&quot;$&quot;#,##0.00,,&quot;M&quot;"/>
    <numFmt numFmtId="176" formatCode="&quot;$&quot;#,##0,&quot;K&quot;;\-&quot;$&quot;#,##0,&quot;K&quot;"/>
    <numFmt numFmtId="177" formatCode="0&quot; km&quot;"/>
    <numFmt numFmtId="178" formatCode="&quot;$&quot;00.0,&quot;K&quot;;\-&quot;$&quot;00.0,&quot;K&quot;"/>
    <numFmt numFmtId="179" formatCode="#.#&quot; km&quot;"/>
    <numFmt numFmtId="180" formatCode="&quot;$&quot;#.00,,&quot;M&quot;;\-&quot;$&quot;#.00,,&quot;M&quot;"/>
    <numFmt numFmtId="181" formatCode="#\ \_xd83d_\_xdd3a_;#\ \_xd83d_\_xdd3b_;\-"/>
    <numFmt numFmtId="182" formatCode="[Color4]#;[Color3]#;[Color44]0"/>
    <numFmt numFmtId="183" formatCode="[Color4]#.0,\ &quot;K&quot;;[Color3]\(#.0,\)&quot;K&quot;;\-;&quot;*&quot;"/>
  </numFmts>
  <fonts count="23" x14ac:knownFonts="1">
    <font>
      <sz val="11"/>
      <color theme="1"/>
      <name val="Aptos Narrow"/>
      <family val="2"/>
      <charset val="178"/>
      <scheme val="minor"/>
    </font>
    <font>
      <sz val="8"/>
      <name val="Aptos Narrow"/>
      <family val="2"/>
      <charset val="178"/>
      <scheme val="minor"/>
    </font>
    <font>
      <sz val="11"/>
      <color theme="1"/>
      <name val="Aptos Narrow"/>
      <family val="2"/>
      <scheme val="minor"/>
    </font>
    <font>
      <b/>
      <sz val="12"/>
      <color theme="1"/>
      <name val="Aptos Narrow"/>
      <family val="2"/>
      <scheme val="minor"/>
    </font>
    <font>
      <b/>
      <sz val="11"/>
      <color theme="1"/>
      <name val="Aptos Narrow"/>
      <family val="2"/>
      <scheme val="minor"/>
    </font>
    <font>
      <sz val="11"/>
      <color theme="0"/>
      <name val="Aptos Narrow"/>
      <family val="2"/>
      <charset val="178"/>
      <scheme val="minor"/>
    </font>
    <font>
      <sz val="14"/>
      <color theme="1"/>
      <name val="Aptos Narrow"/>
      <family val="2"/>
      <charset val="178"/>
      <scheme val="minor"/>
    </font>
    <font>
      <b/>
      <sz val="14"/>
      <color theme="1"/>
      <name val="Aptos Narrow"/>
      <family val="2"/>
      <scheme val="minor"/>
    </font>
    <font>
      <sz val="11"/>
      <color theme="1"/>
      <name val="Calibri"/>
      <family val="2"/>
      <charset val="1"/>
    </font>
    <font>
      <sz val="14"/>
      <color theme="1"/>
      <name val="Segoe UI"/>
      <family val="2"/>
    </font>
    <font>
      <sz val="14"/>
      <color theme="1"/>
      <name val="Aptos Narrow"/>
      <family val="2"/>
      <scheme val="minor"/>
    </font>
    <font>
      <b/>
      <sz val="11"/>
      <color theme="1"/>
      <name val="Calibri"/>
      <family val="2"/>
    </font>
    <font>
      <sz val="11"/>
      <color theme="1"/>
      <name val="Segoe UI"/>
      <family val="2"/>
    </font>
    <font>
      <b/>
      <sz val="11"/>
      <name val="Segoe UI"/>
      <family val="2"/>
    </font>
    <font>
      <sz val="11"/>
      <name val="Segoe UI"/>
      <family val="2"/>
    </font>
    <font>
      <b/>
      <sz val="12"/>
      <color theme="1"/>
      <name val="Segoe UI"/>
      <family val="2"/>
    </font>
    <font>
      <b/>
      <sz val="12"/>
      <name val="Segoe UI"/>
      <family val="2"/>
    </font>
    <font>
      <b/>
      <sz val="12"/>
      <color theme="1"/>
      <name val="Calibri"/>
      <family val="2"/>
      <charset val="178"/>
    </font>
    <font>
      <b/>
      <sz val="12"/>
      <color theme="1"/>
      <name val="Segoe UI"/>
      <family val="2"/>
      <charset val="178"/>
    </font>
    <font>
      <b/>
      <sz val="12"/>
      <name val="Segoe UI"/>
      <family val="2"/>
      <charset val="178"/>
    </font>
    <font>
      <b/>
      <sz val="12"/>
      <color theme="1"/>
      <name val="Aptos Narrow"/>
      <family val="2"/>
      <charset val="178"/>
      <scheme val="minor"/>
    </font>
    <font>
      <b/>
      <sz val="12"/>
      <color theme="1"/>
      <name val="Tahoma"/>
      <family val="2"/>
    </font>
    <font>
      <sz val="11"/>
      <color theme="1"/>
      <name val="Aptos Narrow"/>
      <family val="2"/>
      <charset val="178"/>
      <scheme val="minor"/>
    </font>
  </fonts>
  <fills count="51">
    <fill>
      <patternFill patternType="none"/>
    </fill>
    <fill>
      <patternFill patternType="gray125"/>
    </fill>
    <fill>
      <patternFill patternType="solid">
        <fgColor rgb="FF3B5364"/>
        <bgColor indexed="64"/>
      </patternFill>
    </fill>
    <fill>
      <patternFill patternType="solid">
        <fgColor theme="0"/>
        <bgColor indexed="64"/>
      </patternFill>
    </fill>
    <fill>
      <patternFill patternType="solid">
        <fgColor theme="0" tint="-4.9989318521683403E-2"/>
        <bgColor indexed="64"/>
      </patternFill>
    </fill>
    <fill>
      <patternFill patternType="solid">
        <fgColor rgb="FF000000"/>
        <bgColor indexed="64"/>
      </patternFill>
    </fill>
    <fill>
      <patternFill patternType="solid">
        <fgColor rgb="FFFF0000"/>
        <bgColor indexed="64"/>
      </patternFill>
    </fill>
    <fill>
      <patternFill patternType="solid">
        <fgColor rgb="FF00FF00"/>
        <bgColor indexed="64"/>
      </patternFill>
    </fill>
    <fill>
      <patternFill patternType="solid">
        <fgColor rgb="FF0000FF"/>
        <bgColor indexed="64"/>
      </patternFill>
    </fill>
    <fill>
      <patternFill patternType="solid">
        <fgColor rgb="FFFFFF00"/>
        <bgColor indexed="64"/>
      </patternFill>
    </fill>
    <fill>
      <patternFill patternType="solid">
        <fgColor rgb="FFFF00FF"/>
        <bgColor indexed="64"/>
      </patternFill>
    </fill>
    <fill>
      <patternFill patternType="solid">
        <fgColor rgb="FF00FFFF"/>
        <bgColor indexed="64"/>
      </patternFill>
    </fill>
    <fill>
      <patternFill patternType="solid">
        <fgColor rgb="FF800000"/>
        <bgColor indexed="64"/>
      </patternFill>
    </fill>
    <fill>
      <patternFill patternType="solid">
        <fgColor rgb="FF008000"/>
        <bgColor indexed="64"/>
      </patternFill>
    </fill>
    <fill>
      <patternFill patternType="solid">
        <fgColor rgb="FF000080"/>
        <bgColor indexed="64"/>
      </patternFill>
    </fill>
    <fill>
      <patternFill patternType="solid">
        <fgColor rgb="FF808000"/>
        <bgColor indexed="64"/>
      </patternFill>
    </fill>
    <fill>
      <patternFill patternType="solid">
        <fgColor rgb="FF800080"/>
        <bgColor indexed="64"/>
      </patternFill>
    </fill>
    <fill>
      <patternFill patternType="solid">
        <fgColor rgb="FF008080"/>
        <bgColor indexed="64"/>
      </patternFill>
    </fill>
    <fill>
      <patternFill patternType="solid">
        <fgColor rgb="FFC0C0C0"/>
        <bgColor indexed="64"/>
      </patternFill>
    </fill>
    <fill>
      <patternFill patternType="solid">
        <fgColor rgb="FF808080"/>
        <bgColor indexed="64"/>
      </patternFill>
    </fill>
    <fill>
      <patternFill patternType="solid">
        <fgColor rgb="FF9999FF"/>
        <bgColor indexed="64"/>
      </patternFill>
    </fill>
    <fill>
      <patternFill patternType="solid">
        <fgColor rgb="FF993366"/>
        <bgColor indexed="64"/>
      </patternFill>
    </fill>
    <fill>
      <patternFill patternType="solid">
        <fgColor rgb="FFFFFFCC"/>
        <bgColor indexed="64"/>
      </patternFill>
    </fill>
    <fill>
      <patternFill patternType="solid">
        <fgColor rgb="FFCCFFFF"/>
        <bgColor indexed="64"/>
      </patternFill>
    </fill>
    <fill>
      <patternFill patternType="solid">
        <fgColor rgb="FF660066"/>
        <bgColor indexed="64"/>
      </patternFill>
    </fill>
    <fill>
      <patternFill patternType="solid">
        <fgColor rgb="FFFF8080"/>
        <bgColor indexed="64"/>
      </patternFill>
    </fill>
    <fill>
      <patternFill patternType="solid">
        <fgColor rgb="FF0066CC"/>
        <bgColor indexed="64"/>
      </patternFill>
    </fill>
    <fill>
      <patternFill patternType="solid">
        <fgColor rgb="FFCCCCFF"/>
        <bgColor indexed="64"/>
      </patternFill>
    </fill>
    <fill>
      <patternFill patternType="solid">
        <fgColor rgb="FF00CCFF"/>
        <bgColor indexed="64"/>
      </patternFill>
    </fill>
    <fill>
      <patternFill patternType="solid">
        <fgColor rgb="FFCCFFCC"/>
        <bgColor indexed="64"/>
      </patternFill>
    </fill>
    <fill>
      <patternFill patternType="solid">
        <fgColor rgb="FFFFFF99"/>
        <bgColor indexed="64"/>
      </patternFill>
    </fill>
    <fill>
      <patternFill patternType="solid">
        <fgColor rgb="FF99CCFF"/>
        <bgColor indexed="64"/>
      </patternFill>
    </fill>
    <fill>
      <patternFill patternType="solid">
        <fgColor rgb="FFFF99CC"/>
        <bgColor indexed="64"/>
      </patternFill>
    </fill>
    <fill>
      <patternFill patternType="solid">
        <fgColor rgb="FFCC99FF"/>
        <bgColor indexed="64"/>
      </patternFill>
    </fill>
    <fill>
      <patternFill patternType="solid">
        <fgColor rgb="FFFFCC99"/>
        <bgColor indexed="64"/>
      </patternFill>
    </fill>
    <fill>
      <patternFill patternType="solid">
        <fgColor rgb="FF3366FF"/>
        <bgColor indexed="64"/>
      </patternFill>
    </fill>
    <fill>
      <patternFill patternType="solid">
        <fgColor rgb="FF33CCCC"/>
        <bgColor indexed="64"/>
      </patternFill>
    </fill>
    <fill>
      <patternFill patternType="solid">
        <fgColor rgb="FF99CC00"/>
        <bgColor indexed="64"/>
      </patternFill>
    </fill>
    <fill>
      <patternFill patternType="solid">
        <fgColor rgb="FFFFCC00"/>
        <bgColor indexed="64"/>
      </patternFill>
    </fill>
    <fill>
      <patternFill patternType="solid">
        <fgColor rgb="FFFF9900"/>
        <bgColor indexed="64"/>
      </patternFill>
    </fill>
    <fill>
      <patternFill patternType="solid">
        <fgColor rgb="FFFF6600"/>
        <bgColor indexed="64"/>
      </patternFill>
    </fill>
    <fill>
      <patternFill patternType="solid">
        <fgColor rgb="FF666699"/>
        <bgColor indexed="64"/>
      </patternFill>
    </fill>
    <fill>
      <patternFill patternType="solid">
        <fgColor rgb="FF969696"/>
        <bgColor indexed="64"/>
      </patternFill>
    </fill>
    <fill>
      <patternFill patternType="solid">
        <fgColor rgb="FF003366"/>
        <bgColor indexed="64"/>
      </patternFill>
    </fill>
    <fill>
      <patternFill patternType="solid">
        <fgColor rgb="FF339966"/>
        <bgColor indexed="64"/>
      </patternFill>
    </fill>
    <fill>
      <patternFill patternType="solid">
        <fgColor rgb="FF003300"/>
        <bgColor indexed="64"/>
      </patternFill>
    </fill>
    <fill>
      <patternFill patternType="solid">
        <fgColor rgb="FF333300"/>
        <bgColor indexed="64"/>
      </patternFill>
    </fill>
    <fill>
      <patternFill patternType="solid">
        <fgColor rgb="FF993300"/>
        <bgColor indexed="64"/>
      </patternFill>
    </fill>
    <fill>
      <patternFill patternType="solid">
        <fgColor rgb="FF333399"/>
        <bgColor indexed="64"/>
      </patternFill>
    </fill>
    <fill>
      <patternFill patternType="solid">
        <fgColor rgb="FF333333"/>
        <bgColor indexed="64"/>
      </patternFill>
    </fill>
    <fill>
      <patternFill patternType="solid">
        <fgColor theme="0" tint="-0.14999847407452621"/>
        <bgColor theme="0" tint="-0.14999847407452621"/>
      </patternFill>
    </fill>
  </fills>
  <borders count="16">
    <border>
      <left/>
      <right/>
      <top/>
      <bottom/>
      <diagonal/>
    </border>
    <border>
      <left/>
      <right/>
      <top/>
      <bottom style="thick">
        <color rgb="FF9DC2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1"/>
      </top>
      <bottom/>
      <diagonal/>
    </border>
    <border>
      <left/>
      <right/>
      <top/>
      <bottom style="thin">
        <color theme="1"/>
      </bottom>
      <diagonal/>
    </border>
    <border>
      <left/>
      <right/>
      <top style="thick">
        <color rgb="FF9DC2D9"/>
      </top>
      <bottom/>
      <diagonal/>
    </border>
  </borders>
  <cellStyleXfs count="7">
    <xf numFmtId="0" fontId="0" fillId="0" borderId="0"/>
    <xf numFmtId="0" fontId="2" fillId="0" borderId="0"/>
    <xf numFmtId="164" fontId="2" fillId="0" borderId="0" applyFont="0" applyFill="0" applyBorder="0" applyAlignment="0" applyProtection="0"/>
    <xf numFmtId="0" fontId="8" fillId="0" borderId="0"/>
    <xf numFmtId="0" fontId="2" fillId="0" borderId="0"/>
    <xf numFmtId="43" fontId="8" fillId="0" borderId="0" applyFont="0" applyFill="0" applyBorder="0" applyAlignment="0" applyProtection="0"/>
    <xf numFmtId="43" fontId="22" fillId="0" borderId="0" applyFont="0" applyFill="0" applyBorder="0" applyAlignment="0" applyProtection="0"/>
  </cellStyleXfs>
  <cellXfs count="135">
    <xf numFmtId="0" fontId="0" fillId="0" borderId="0" xfId="0"/>
    <xf numFmtId="0" fontId="5" fillId="2" borderId="1" xfId="0" applyFont="1" applyFill="1" applyBorder="1"/>
    <xf numFmtId="0" fontId="0" fillId="4" borderId="0" xfId="0" applyFill="1"/>
    <xf numFmtId="0" fontId="0" fillId="3" borderId="2"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3" fillId="3" borderId="3" xfId="0" applyFont="1" applyFill="1" applyBorder="1" applyAlignment="1">
      <alignment horizontal="center" vertical="center"/>
    </xf>
    <xf numFmtId="0" fontId="7" fillId="3" borderId="0" xfId="0" applyFont="1" applyFill="1" applyAlignment="1">
      <alignment horizontal="center" vertical="center"/>
    </xf>
    <xf numFmtId="0" fontId="7" fillId="3" borderId="8" xfId="0" applyFont="1" applyFill="1" applyBorder="1" applyAlignment="1">
      <alignment horizontal="center" vertical="center"/>
    </xf>
    <xf numFmtId="0" fontId="6" fillId="4" borderId="0" xfId="0" applyFont="1" applyFill="1"/>
    <xf numFmtId="0" fontId="7" fillId="3" borderId="10" xfId="0" applyFont="1" applyFill="1" applyBorder="1" applyAlignment="1">
      <alignment horizontal="center" wrapText="1"/>
    </xf>
    <xf numFmtId="0" fontId="7" fillId="3" borderId="11" xfId="0" applyFont="1" applyFill="1" applyBorder="1" applyAlignment="1">
      <alignment horizontal="center" wrapText="1"/>
    </xf>
    <xf numFmtId="0" fontId="7" fillId="3" borderId="12" xfId="0" applyFont="1" applyFill="1" applyBorder="1" applyAlignment="1">
      <alignment horizontal="center" wrapText="1"/>
    </xf>
    <xf numFmtId="165" fontId="9" fillId="3" borderId="5" xfId="0" applyNumberFormat="1" applyFont="1" applyFill="1" applyBorder="1" applyAlignment="1">
      <alignment horizontal="center" vertical="center"/>
    </xf>
    <xf numFmtId="165" fontId="9" fillId="3" borderId="0" xfId="0" applyNumberFormat="1" applyFont="1" applyFill="1" applyAlignment="1">
      <alignment horizontal="center" vertical="center"/>
    </xf>
    <xf numFmtId="166" fontId="10" fillId="3" borderId="6" xfId="0" applyNumberFormat="1" applyFont="1" applyFill="1" applyBorder="1" applyAlignment="1">
      <alignment horizontal="center" vertical="center"/>
    </xf>
    <xf numFmtId="165" fontId="9" fillId="3" borderId="7" xfId="0" applyNumberFormat="1" applyFont="1" applyFill="1" applyBorder="1" applyAlignment="1">
      <alignment horizontal="center" vertical="center"/>
    </xf>
    <xf numFmtId="165" fontId="9" fillId="3" borderId="8" xfId="0" applyNumberFormat="1" applyFont="1" applyFill="1" applyBorder="1" applyAlignment="1">
      <alignment horizontal="center" vertical="center"/>
    </xf>
    <xf numFmtId="166" fontId="10" fillId="3" borderId="9" xfId="0" applyNumberFormat="1" applyFont="1" applyFill="1" applyBorder="1" applyAlignment="1">
      <alignment horizontal="center" vertical="center"/>
    </xf>
    <xf numFmtId="0" fontId="11" fillId="0" borderId="8" xfId="3" applyFont="1" applyBorder="1"/>
    <xf numFmtId="0" fontId="8" fillId="5" borderId="0" xfId="3" applyFill="1" applyAlignment="1">
      <alignment vertical="center"/>
    </xf>
    <xf numFmtId="0" fontId="8" fillId="0" borderId="0" xfId="3" applyAlignment="1">
      <alignment vertical="center"/>
    </xf>
    <xf numFmtId="0" fontId="8" fillId="6" borderId="0" xfId="3" applyFill="1" applyAlignment="1">
      <alignment vertical="center"/>
    </xf>
    <xf numFmtId="0" fontId="8" fillId="7" borderId="0" xfId="3" applyFill="1" applyAlignment="1">
      <alignment vertical="center"/>
    </xf>
    <xf numFmtId="0" fontId="8" fillId="8" borderId="0" xfId="3" applyFill="1" applyAlignment="1">
      <alignment vertical="center"/>
    </xf>
    <xf numFmtId="0" fontId="8" fillId="9" borderId="0" xfId="3" applyFill="1" applyAlignment="1">
      <alignment vertical="center"/>
    </xf>
    <xf numFmtId="0" fontId="8" fillId="10" borderId="0" xfId="3" applyFill="1" applyAlignment="1">
      <alignment vertical="center"/>
    </xf>
    <xf numFmtId="0" fontId="8" fillId="11" borderId="0" xfId="3" applyFill="1" applyAlignment="1">
      <alignment vertical="center"/>
    </xf>
    <xf numFmtId="0" fontId="8" fillId="12" borderId="0" xfId="3" applyFill="1" applyAlignment="1">
      <alignment vertical="center"/>
    </xf>
    <xf numFmtId="0" fontId="8" fillId="13" borderId="0" xfId="3" applyFill="1" applyAlignment="1">
      <alignment vertical="center"/>
    </xf>
    <xf numFmtId="0" fontId="8" fillId="14" borderId="0" xfId="3" applyFill="1" applyAlignment="1">
      <alignment vertical="center"/>
    </xf>
    <xf numFmtId="0" fontId="8" fillId="15" borderId="0" xfId="3" applyFill="1" applyAlignment="1">
      <alignment vertical="center"/>
    </xf>
    <xf numFmtId="0" fontId="8" fillId="16" borderId="0" xfId="3" applyFill="1" applyAlignment="1">
      <alignment vertical="center"/>
    </xf>
    <xf numFmtId="0" fontId="8" fillId="17" borderId="0" xfId="3" applyFill="1" applyAlignment="1">
      <alignment vertical="center"/>
    </xf>
    <xf numFmtId="0" fontId="8" fillId="18" borderId="0" xfId="3" applyFill="1" applyAlignment="1">
      <alignment vertical="center"/>
    </xf>
    <xf numFmtId="0" fontId="8" fillId="19" borderId="0" xfId="3" applyFill="1" applyAlignment="1">
      <alignment vertical="center"/>
    </xf>
    <xf numFmtId="0" fontId="4" fillId="20" borderId="0" xfId="3" applyFont="1" applyFill="1" applyAlignment="1">
      <alignment vertical="center"/>
    </xf>
    <xf numFmtId="0" fontId="8" fillId="21" borderId="0" xfId="3" applyFill="1" applyAlignment="1">
      <alignment vertical="center"/>
    </xf>
    <xf numFmtId="0" fontId="8" fillId="22" borderId="0" xfId="3" applyFill="1" applyAlignment="1">
      <alignment vertical="center"/>
    </xf>
    <xf numFmtId="0" fontId="8" fillId="23" borderId="0" xfId="3" applyFill="1" applyAlignment="1">
      <alignment vertical="center"/>
    </xf>
    <xf numFmtId="0" fontId="8" fillId="24" borderId="0" xfId="3" applyFill="1" applyAlignment="1">
      <alignment vertical="center"/>
    </xf>
    <xf numFmtId="0" fontId="8" fillId="25" borderId="0" xfId="3" applyFill="1" applyAlignment="1">
      <alignment vertical="center"/>
    </xf>
    <xf numFmtId="0" fontId="8" fillId="26" borderId="0" xfId="3" applyFill="1" applyAlignment="1">
      <alignment vertical="center"/>
    </xf>
    <xf numFmtId="0" fontId="8" fillId="27" borderId="0" xfId="3" applyFill="1" applyAlignment="1">
      <alignment vertical="center"/>
    </xf>
    <xf numFmtId="0" fontId="8" fillId="28" borderId="0" xfId="3" applyFill="1" applyAlignment="1">
      <alignment vertical="center"/>
    </xf>
    <xf numFmtId="0" fontId="8" fillId="29" borderId="0" xfId="3" applyFill="1" applyAlignment="1">
      <alignment vertical="center"/>
    </xf>
    <xf numFmtId="0" fontId="8" fillId="30" borderId="0" xfId="3" applyFill="1" applyAlignment="1">
      <alignment vertical="center"/>
    </xf>
    <xf numFmtId="0" fontId="8" fillId="31" borderId="0" xfId="3" applyFill="1" applyAlignment="1">
      <alignment vertical="center"/>
    </xf>
    <xf numFmtId="0" fontId="8" fillId="32" borderId="0" xfId="3" applyFill="1" applyAlignment="1">
      <alignment vertical="center"/>
    </xf>
    <xf numFmtId="0" fontId="8" fillId="33" borderId="0" xfId="3" applyFill="1" applyAlignment="1">
      <alignment vertical="center"/>
    </xf>
    <xf numFmtId="0" fontId="8" fillId="34" borderId="0" xfId="3" applyFill="1" applyAlignment="1">
      <alignment vertical="center"/>
    </xf>
    <xf numFmtId="0" fontId="8" fillId="35" borderId="0" xfId="3" applyFill="1" applyAlignment="1">
      <alignment vertical="center"/>
    </xf>
    <xf numFmtId="0" fontId="8" fillId="36" borderId="0" xfId="3" applyFill="1" applyAlignment="1">
      <alignment vertical="center"/>
    </xf>
    <xf numFmtId="0" fontId="8" fillId="37" borderId="0" xfId="3" applyFill="1" applyAlignment="1">
      <alignment vertical="center"/>
    </xf>
    <xf numFmtId="0" fontId="8" fillId="38" borderId="0" xfId="3" applyFill="1" applyAlignment="1">
      <alignment vertical="center"/>
    </xf>
    <xf numFmtId="0" fontId="8" fillId="39" borderId="0" xfId="3" applyFill="1" applyAlignment="1">
      <alignment vertical="center"/>
    </xf>
    <xf numFmtId="0" fontId="8" fillId="40" borderId="0" xfId="3" applyFill="1" applyAlignment="1">
      <alignment vertical="center"/>
    </xf>
    <xf numFmtId="0" fontId="8" fillId="41" borderId="0" xfId="3" applyFill="1" applyAlignment="1">
      <alignment vertical="center"/>
    </xf>
    <xf numFmtId="0" fontId="8" fillId="42" borderId="0" xfId="3" applyFill="1" applyAlignment="1">
      <alignment vertical="center"/>
    </xf>
    <xf numFmtId="0" fontId="8" fillId="43" borderId="0" xfId="3" applyFill="1" applyAlignment="1">
      <alignment vertical="center"/>
    </xf>
    <xf numFmtId="0" fontId="8" fillId="44" borderId="0" xfId="3" applyFill="1" applyAlignment="1">
      <alignment vertical="center"/>
    </xf>
    <xf numFmtId="0" fontId="8" fillId="45" borderId="0" xfId="3" applyFill="1" applyAlignment="1">
      <alignment vertical="center"/>
    </xf>
    <xf numFmtId="0" fontId="8" fillId="46" borderId="0" xfId="3" applyFill="1" applyAlignment="1">
      <alignment vertical="center"/>
    </xf>
    <xf numFmtId="0" fontId="8" fillId="47" borderId="0" xfId="3" applyFill="1" applyAlignment="1">
      <alignment vertical="center"/>
    </xf>
    <xf numFmtId="0" fontId="8" fillId="48" borderId="0" xfId="3" applyFill="1" applyAlignment="1">
      <alignment vertical="center"/>
    </xf>
    <xf numFmtId="0" fontId="8" fillId="49" borderId="0" xfId="3" applyFill="1" applyAlignment="1">
      <alignment vertical="center"/>
    </xf>
    <xf numFmtId="166" fontId="10" fillId="3" borderId="0" xfId="0" applyNumberFormat="1" applyFont="1" applyFill="1" applyAlignment="1">
      <alignment horizontal="center" vertical="center"/>
    </xf>
    <xf numFmtId="166" fontId="10" fillId="3" borderId="8" xfId="0" applyNumberFormat="1" applyFont="1" applyFill="1" applyBorder="1" applyAlignment="1">
      <alignment horizontal="center" vertical="center"/>
    </xf>
    <xf numFmtId="0" fontId="13" fillId="0" borderId="13" xfId="3" applyFont="1" applyBorder="1" applyAlignment="1">
      <alignment horizontal="center" vertical="center" wrapText="1"/>
    </xf>
    <xf numFmtId="14" fontId="14" fillId="50" borderId="13" xfId="3" applyNumberFormat="1" applyFont="1" applyFill="1" applyBorder="1" applyAlignment="1">
      <alignment horizontal="center" vertical="center" wrapText="1"/>
    </xf>
    <xf numFmtId="0" fontId="14" fillId="50" borderId="13" xfId="3" applyFont="1" applyFill="1" applyBorder="1" applyAlignment="1">
      <alignment horizontal="center" vertical="center" wrapText="1"/>
    </xf>
    <xf numFmtId="167" fontId="14" fillId="50" borderId="13" xfId="0" applyNumberFormat="1" applyFont="1" applyFill="1" applyBorder="1" applyAlignment="1">
      <alignment horizontal="center" vertical="center" wrapText="1"/>
    </xf>
    <xf numFmtId="14" fontId="14" fillId="0" borderId="0" xfId="3" applyNumberFormat="1" applyFont="1" applyAlignment="1">
      <alignment horizontal="center" vertical="center" wrapText="1"/>
    </xf>
    <xf numFmtId="0" fontId="14" fillId="0" borderId="0" xfId="3" applyFont="1" applyAlignment="1">
      <alignment horizontal="center" vertical="center" wrapText="1"/>
    </xf>
    <xf numFmtId="168" fontId="14" fillId="0" borderId="0" xfId="0" applyNumberFormat="1" applyFont="1" applyAlignment="1">
      <alignment horizontal="center" vertical="center" wrapText="1"/>
    </xf>
    <xf numFmtId="14" fontId="14" fillId="50" borderId="0" xfId="3" applyNumberFormat="1" applyFont="1" applyFill="1" applyAlignment="1">
      <alignment horizontal="center" vertical="center" wrapText="1"/>
    </xf>
    <xf numFmtId="0" fontId="14" fillId="50" borderId="0" xfId="1" applyFont="1" applyFill="1" applyAlignment="1">
      <alignment horizontal="center" vertical="center" wrapText="1"/>
    </xf>
    <xf numFmtId="169" fontId="14" fillId="50" borderId="0" xfId="0" applyNumberFormat="1" applyFont="1" applyFill="1" applyAlignment="1">
      <alignment horizontal="center" vertical="center" wrapText="1"/>
    </xf>
    <xf numFmtId="170" fontId="14" fillId="0" borderId="0" xfId="0" applyNumberFormat="1" applyFont="1" applyAlignment="1">
      <alignment horizontal="center" vertical="center" wrapText="1"/>
    </xf>
    <xf numFmtId="0" fontId="14" fillId="50" borderId="0" xfId="3" applyFont="1" applyFill="1" applyAlignment="1">
      <alignment horizontal="center" vertical="center" wrapText="1"/>
    </xf>
    <xf numFmtId="17" fontId="14" fillId="50" borderId="0" xfId="0" applyNumberFormat="1" applyFont="1" applyFill="1" applyAlignment="1">
      <alignment horizontal="center" vertical="center" wrapText="1"/>
    </xf>
    <xf numFmtId="171" fontId="14" fillId="0" borderId="0" xfId="0" applyNumberFormat="1" applyFont="1" applyAlignment="1">
      <alignment horizontal="center" vertical="center" wrapText="1"/>
    </xf>
    <xf numFmtId="14" fontId="14" fillId="50" borderId="14" xfId="3" applyNumberFormat="1" applyFont="1" applyFill="1" applyBorder="1" applyAlignment="1">
      <alignment horizontal="center" vertical="center" wrapText="1"/>
    </xf>
    <xf numFmtId="0" fontId="14" fillId="50" borderId="14" xfId="1" applyFont="1" applyFill="1" applyBorder="1" applyAlignment="1">
      <alignment horizontal="center" vertical="center" wrapText="1"/>
    </xf>
    <xf numFmtId="172" fontId="14" fillId="50" borderId="14" xfId="0" applyNumberFormat="1" applyFont="1" applyFill="1" applyBorder="1" applyAlignment="1">
      <alignment horizontal="center" vertical="center" wrapText="1"/>
    </xf>
    <xf numFmtId="0" fontId="12" fillId="3" borderId="0" xfId="1" applyFont="1" applyFill="1"/>
    <xf numFmtId="0" fontId="14" fillId="3" borderId="0" xfId="1" applyFont="1" applyFill="1" applyAlignment="1">
      <alignment horizontal="center" vertical="center" wrapText="1"/>
    </xf>
    <xf numFmtId="14" fontId="14" fillId="3" borderId="0" xfId="1" applyNumberFormat="1" applyFont="1" applyFill="1" applyAlignment="1">
      <alignment horizontal="center" vertical="center" wrapText="1"/>
    </xf>
    <xf numFmtId="165" fontId="18" fillId="3" borderId="5" xfId="0" applyNumberFormat="1" applyFont="1" applyFill="1" applyBorder="1" applyAlignment="1">
      <alignment horizontal="center" vertical="center"/>
    </xf>
    <xf numFmtId="165" fontId="18" fillId="3" borderId="7" xfId="0" applyNumberFormat="1" applyFont="1" applyFill="1" applyBorder="1" applyAlignment="1">
      <alignment horizontal="center" vertical="center"/>
    </xf>
    <xf numFmtId="165" fontId="18" fillId="3" borderId="8" xfId="0" applyNumberFormat="1" applyFont="1" applyFill="1" applyBorder="1" applyAlignment="1">
      <alignment horizontal="center" vertical="center"/>
    </xf>
    <xf numFmtId="166" fontId="20" fillId="3" borderId="8" xfId="0" applyNumberFormat="1" applyFont="1" applyFill="1" applyBorder="1" applyAlignment="1">
      <alignment horizontal="center" vertical="center"/>
    </xf>
    <xf numFmtId="0" fontId="17" fillId="3" borderId="2" xfId="3" applyFont="1" applyFill="1" applyBorder="1" applyAlignment="1">
      <alignment horizontal="center" vertical="center"/>
    </xf>
    <xf numFmtId="0" fontId="17" fillId="3" borderId="3" xfId="3" applyFont="1" applyFill="1" applyBorder="1" applyAlignment="1">
      <alignment horizontal="center" vertical="center"/>
    </xf>
    <xf numFmtId="0" fontId="17" fillId="3" borderId="4" xfId="3" applyFont="1" applyFill="1" applyBorder="1" applyAlignment="1">
      <alignment horizontal="center" vertical="center"/>
    </xf>
    <xf numFmtId="0" fontId="17" fillId="3" borderId="5" xfId="3" applyFont="1" applyFill="1" applyBorder="1" applyAlignment="1">
      <alignment horizontal="center" vertical="center"/>
    </xf>
    <xf numFmtId="175" fontId="19" fillId="3" borderId="6" xfId="5" applyNumberFormat="1" applyFont="1" applyFill="1" applyBorder="1" applyAlignment="1">
      <alignment horizontal="center" vertical="center"/>
    </xf>
    <xf numFmtId="176" fontId="19" fillId="3" borderId="6" xfId="5" applyNumberFormat="1" applyFont="1" applyFill="1" applyBorder="1" applyAlignment="1">
      <alignment horizontal="center" vertical="center"/>
    </xf>
    <xf numFmtId="177" fontId="19" fillId="3" borderId="6" xfId="3" applyNumberFormat="1" applyFont="1" applyFill="1" applyBorder="1" applyAlignment="1">
      <alignment horizontal="center" vertical="center" wrapText="1"/>
    </xf>
    <xf numFmtId="166" fontId="20" fillId="3" borderId="9" xfId="0" applyNumberFormat="1" applyFont="1" applyFill="1" applyBorder="1" applyAlignment="1">
      <alignment horizontal="center" vertical="center"/>
    </xf>
    <xf numFmtId="0" fontId="18" fillId="3" borderId="0" xfId="3" applyFont="1" applyFill="1" applyAlignment="1">
      <alignment horizontal="left" vertical="center"/>
    </xf>
    <xf numFmtId="14" fontId="7" fillId="3" borderId="0" xfId="0" applyNumberFormat="1" applyFont="1" applyFill="1" applyAlignment="1">
      <alignment horizontal="center" vertical="center"/>
    </xf>
    <xf numFmtId="14" fontId="0" fillId="3" borderId="8" xfId="0" applyNumberFormat="1" applyFill="1" applyBorder="1"/>
    <xf numFmtId="0" fontId="7" fillId="3" borderId="8" xfId="0" applyFont="1" applyFill="1" applyBorder="1" applyAlignment="1">
      <alignment horizontal="center" vertical="center" wrapText="1"/>
    </xf>
    <xf numFmtId="0" fontId="18" fillId="3" borderId="0" xfId="3" applyFont="1" applyFill="1" applyAlignment="1">
      <alignment horizontal="center" vertical="center"/>
    </xf>
    <xf numFmtId="0" fontId="17" fillId="3" borderId="6" xfId="3" applyFont="1" applyFill="1" applyBorder="1" applyAlignment="1">
      <alignment horizontal="center" vertical="center"/>
    </xf>
    <xf numFmtId="0" fontId="17" fillId="3" borderId="8" xfId="3" applyFont="1" applyFill="1" applyBorder="1" applyAlignment="1">
      <alignment horizontal="center" vertical="center" wrapText="1"/>
    </xf>
    <xf numFmtId="0" fontId="15" fillId="3" borderId="0" xfId="1" applyFont="1" applyFill="1"/>
    <xf numFmtId="173" fontId="16" fillId="3" borderId="0" xfId="0" applyNumberFormat="1" applyFont="1" applyFill="1" applyAlignment="1">
      <alignment horizontal="left" vertical="center" wrapText="1"/>
    </xf>
    <xf numFmtId="14" fontId="16" fillId="3" borderId="0" xfId="0" applyNumberFormat="1" applyFont="1" applyFill="1" applyAlignment="1">
      <alignment horizontal="left" vertical="center" wrapText="1"/>
    </xf>
    <xf numFmtId="174" fontId="16" fillId="3" borderId="0" xfId="0" applyNumberFormat="1" applyFont="1" applyFill="1" applyAlignment="1">
      <alignment horizontal="left" vertical="center" wrapText="1"/>
    </xf>
    <xf numFmtId="0" fontId="15" fillId="3" borderId="2" xfId="1" applyFont="1" applyFill="1" applyBorder="1"/>
    <xf numFmtId="0" fontId="15" fillId="3" borderId="3" xfId="1" applyFont="1" applyFill="1" applyBorder="1"/>
    <xf numFmtId="0" fontId="15" fillId="3" borderId="3" xfId="4" applyFont="1" applyFill="1" applyBorder="1"/>
    <xf numFmtId="0" fontId="15" fillId="3" borderId="4" xfId="1" applyFont="1" applyFill="1" applyBorder="1"/>
    <xf numFmtId="0" fontId="15" fillId="3" borderId="5" xfId="1" applyFont="1" applyFill="1" applyBorder="1"/>
    <xf numFmtId="0" fontId="15" fillId="3" borderId="6" xfId="1" applyFont="1" applyFill="1" applyBorder="1"/>
    <xf numFmtId="0" fontId="15" fillId="3" borderId="7" xfId="1" applyFont="1" applyFill="1" applyBorder="1"/>
    <xf numFmtId="0" fontId="15" fillId="3" borderId="8" xfId="1" applyFont="1" applyFill="1" applyBorder="1"/>
    <xf numFmtId="0" fontId="16" fillId="3" borderId="8" xfId="1" applyFont="1" applyFill="1" applyBorder="1" applyAlignment="1">
      <alignment horizontal="center" vertical="center" wrapText="1"/>
    </xf>
    <xf numFmtId="0" fontId="15" fillId="3" borderId="9" xfId="1" applyFont="1" applyFill="1" applyBorder="1"/>
    <xf numFmtId="178" fontId="19" fillId="3" borderId="0" xfId="5" applyNumberFormat="1" applyFont="1" applyFill="1" applyBorder="1" applyAlignment="1">
      <alignment horizontal="right" vertical="center"/>
    </xf>
    <xf numFmtId="179" fontId="19" fillId="3" borderId="0" xfId="3" applyNumberFormat="1" applyFont="1" applyFill="1" applyAlignment="1">
      <alignment horizontal="right" vertical="center" wrapText="1"/>
    </xf>
    <xf numFmtId="0" fontId="6" fillId="4" borderId="0" xfId="0" applyFont="1" applyFill="1" applyAlignment="1">
      <alignment readingOrder="1"/>
    </xf>
    <xf numFmtId="0" fontId="3" fillId="3" borderId="8" xfId="0" applyFont="1" applyFill="1" applyBorder="1" applyAlignment="1">
      <alignment horizontal="center" vertical="center"/>
    </xf>
    <xf numFmtId="180" fontId="19" fillId="3" borderId="0" xfId="5" applyNumberFormat="1" applyFont="1" applyFill="1" applyBorder="1" applyAlignment="1">
      <alignment horizontal="right" vertical="center"/>
    </xf>
    <xf numFmtId="181" fontId="7" fillId="3" borderId="0" xfId="0" applyNumberFormat="1" applyFont="1" applyFill="1" applyAlignment="1">
      <alignment horizontal="center" vertical="center"/>
    </xf>
    <xf numFmtId="182" fontId="7" fillId="3" borderId="0" xfId="0" applyNumberFormat="1" applyFont="1" applyFill="1" applyAlignment="1">
      <alignment horizontal="center" vertical="center"/>
    </xf>
    <xf numFmtId="183" fontId="7" fillId="3" borderId="0" xfId="6" applyNumberFormat="1" applyFont="1" applyFill="1" applyAlignment="1">
      <alignment horizontal="center" vertical="center"/>
    </xf>
    <xf numFmtId="0" fontId="21" fillId="0" borderId="15" xfId="0" applyFont="1" applyBorder="1" applyAlignment="1">
      <alignment horizontal="right" vertical="center" wrapText="1"/>
    </xf>
    <xf numFmtId="0" fontId="21" fillId="0" borderId="0" xfId="0" applyFont="1" applyAlignment="1">
      <alignment horizontal="right" vertical="center" wrapText="1"/>
    </xf>
  </cellXfs>
  <cellStyles count="7">
    <cellStyle name="Comma" xfId="6" builtinId="3"/>
    <cellStyle name="Comma 2" xfId="5" xr:uid="{63B788D0-EC61-4946-B3AE-066AA047CF85}"/>
    <cellStyle name="Currency 2" xfId="2" xr:uid="{48C60B45-ABC6-449B-9F20-60D876F6D8B5}"/>
    <cellStyle name="Normal" xfId="0" builtinId="0"/>
    <cellStyle name="Normal 2" xfId="1" xr:uid="{EC702449-2CF1-4238-8019-AC34C616B776}"/>
    <cellStyle name="Normal 2 2" xfId="4" xr:uid="{C8E1CCAE-51D1-4921-93F0-5F0148BE1DD6}"/>
    <cellStyle name="Normal 3" xfId="3" xr:uid="{32A175C7-E5F6-42EE-BCFA-DD29F71E1EE4}"/>
  </cellStyles>
  <dxfs count="0"/>
  <tableStyles count="0" defaultTableStyle="TableStyleMedium2" defaultPivotStyle="PivotStyleLight16"/>
  <colors>
    <mruColors>
      <color rgb="FF0B8249"/>
      <color rgb="FF002D62"/>
      <color rgb="FF9DC2D9"/>
      <color rgb="FF1C1C1C"/>
      <color rgb="FF3B5364"/>
      <color rgb="FFE5A4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https://linktr.ee/ahmedsamir00003" TargetMode="External"/><Relationship Id="rId1" Type="http://schemas.openxmlformats.org/officeDocument/2006/relationships/hyperlink" Target="https://www.linkedin.com/in/ahmedsamir000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42862</xdr:colOff>
      <xdr:row>0</xdr:row>
      <xdr:rowOff>171450</xdr:rowOff>
    </xdr:from>
    <xdr:ext cx="2314575" cy="523875"/>
    <xdr:sp macro="" textlink="">
      <xdr:nvSpPr>
        <xdr:cNvPr id="16" name="Rectangle 15">
          <a:hlinkClick xmlns:r="http://schemas.openxmlformats.org/officeDocument/2006/relationships" r:id="rId1"/>
          <a:extLst>
            <a:ext uri="{FF2B5EF4-FFF2-40B4-BE49-F238E27FC236}">
              <a16:creationId xmlns:a16="http://schemas.microsoft.com/office/drawing/2014/main" id="{557646A1-B8DD-40C5-B9D3-89FCBB88DF00}"/>
            </a:ext>
          </a:extLst>
        </xdr:cNvPr>
        <xdr:cNvSpPr/>
      </xdr:nvSpPr>
      <xdr:spPr>
        <a:xfrm>
          <a:off x="4710112" y="171450"/>
          <a:ext cx="2314575" cy="523875"/>
        </a:xfrm>
        <a:prstGeom prst="rect">
          <a:avLst/>
        </a:prstGeom>
        <a:noFill/>
      </xdr:spPr>
      <xdr:txBody>
        <a:bodyPr wrap="square" lIns="91440" tIns="45720" rIns="91440" bIns="45720" anchor="ctr">
          <a:noAutofit/>
          <a:scene3d>
            <a:camera prst="orthographicFront"/>
            <a:lightRig rig="harsh" dir="t"/>
          </a:scene3d>
          <a:sp3d extrusionH="57150" prstMaterial="matte">
            <a:bevelT w="63500" h="12700" prst="angle"/>
            <a:contourClr>
              <a:schemeClr val="bg1">
                <a:lumMod val="65000"/>
              </a:schemeClr>
            </a:contourClr>
          </a:sp3d>
        </a:bodyPr>
        <a:lstStyle/>
        <a:p>
          <a:pPr algn="ctr"/>
          <a:r>
            <a:rPr lang="ar-SA" sz="1400" b="1" i="0" cap="none" spc="0">
              <a:ln/>
              <a:solidFill>
                <a:schemeClr val="bg1"/>
              </a:solidFill>
              <a:effectLst/>
              <a:latin typeface="Tahoma" panose="020B0604030504040204" pitchFamily="34" charset="0"/>
              <a:ea typeface="Tahoma" panose="020B0604030504040204" pitchFamily="34" charset="0"/>
              <a:cs typeface="Tahoma" panose="020B0604030504040204" pitchFamily="34" charset="0"/>
            </a:rPr>
            <a:t>لاتنسونا</a:t>
          </a:r>
          <a:r>
            <a:rPr lang="ar-SA" sz="1400" b="1" i="0" cap="none" spc="0" baseline="0">
              <a:ln/>
              <a:solidFill>
                <a:schemeClr val="bg1"/>
              </a:solidFill>
              <a:effectLst/>
              <a:latin typeface="Tahoma" panose="020B0604030504040204" pitchFamily="34" charset="0"/>
              <a:ea typeface="Tahoma" panose="020B0604030504040204" pitchFamily="34" charset="0"/>
              <a:cs typeface="Tahoma" panose="020B0604030504040204" pitchFamily="34" charset="0"/>
            </a:rPr>
            <a:t> بصالح دعاؤكم</a:t>
          </a:r>
        </a:p>
        <a:p>
          <a:pPr algn="ctr"/>
          <a:r>
            <a:rPr lang="ar-EG" sz="1400" b="1" i="0" cap="none" spc="0" baseline="0">
              <a:ln/>
              <a:solidFill>
                <a:schemeClr val="bg1"/>
              </a:solidFill>
              <a:effectLst/>
              <a:latin typeface="Tahoma" panose="020B0604030504040204" pitchFamily="34" charset="0"/>
              <a:ea typeface="Tahoma" panose="020B0604030504040204" pitchFamily="34" charset="0"/>
              <a:cs typeface="Tahoma" panose="020B0604030504040204" pitchFamily="34" charset="0"/>
            </a:rPr>
            <a:t>أ/أحمد سمير </a:t>
          </a:r>
          <a:endParaRPr lang="ar-SA" sz="1400" b="1" i="0" cap="none" spc="0" baseline="0">
            <a:ln/>
            <a:solidFill>
              <a:schemeClr val="bg1"/>
            </a:solidFill>
            <a:effectLst/>
            <a:latin typeface="Tahoma" panose="020B0604030504040204" pitchFamily="34" charset="0"/>
            <a:ea typeface="Tahoma" panose="020B0604030504040204" pitchFamily="34" charset="0"/>
            <a:cs typeface="Tahoma" panose="020B0604030504040204" pitchFamily="34" charset="0"/>
          </a:endParaRPr>
        </a:p>
        <a:p>
          <a:pPr algn="ctr"/>
          <a:endParaRPr lang="en-US" sz="1400" b="1" i="0" cap="none" spc="0">
            <a:ln/>
            <a:solidFill>
              <a:schemeClr val="bg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oneCellAnchor>
  <xdr:twoCellAnchor>
    <xdr:from>
      <xdr:col>2</xdr:col>
      <xdr:colOff>1762125</xdr:colOff>
      <xdr:row>3</xdr:row>
      <xdr:rowOff>238125</xdr:rowOff>
    </xdr:from>
    <xdr:to>
      <xdr:col>4</xdr:col>
      <xdr:colOff>2286000</xdr:colOff>
      <xdr:row>4</xdr:row>
      <xdr:rowOff>581025</xdr:rowOff>
    </xdr:to>
    <xdr:grpSp>
      <xdr:nvGrpSpPr>
        <xdr:cNvPr id="5" name="Group 4">
          <a:extLst>
            <a:ext uri="{FF2B5EF4-FFF2-40B4-BE49-F238E27FC236}">
              <a16:creationId xmlns:a16="http://schemas.microsoft.com/office/drawing/2014/main" id="{BB9ADFAF-ACA6-397E-BCA9-ABF9739BFE99}"/>
            </a:ext>
          </a:extLst>
        </xdr:cNvPr>
        <xdr:cNvGrpSpPr/>
      </xdr:nvGrpSpPr>
      <xdr:grpSpPr>
        <a:xfrm>
          <a:off x="6429375" y="2324100"/>
          <a:ext cx="5191125" cy="1038225"/>
          <a:chOff x="123825" y="1285875"/>
          <a:chExt cx="5191125" cy="1038225"/>
        </a:xfrm>
      </xdr:grpSpPr>
      <xdr:sp macro="" textlink="">
        <xdr:nvSpPr>
          <xdr:cNvPr id="31" name="Rectangle: Rounded Corners 30">
            <a:extLst>
              <a:ext uri="{FF2B5EF4-FFF2-40B4-BE49-F238E27FC236}">
                <a16:creationId xmlns:a16="http://schemas.microsoft.com/office/drawing/2014/main" id="{58220BE6-4068-3ABC-9E83-65438B099B3C}"/>
              </a:ext>
            </a:extLst>
          </xdr:cNvPr>
          <xdr:cNvSpPr/>
        </xdr:nvSpPr>
        <xdr:spPr>
          <a:xfrm>
            <a:off x="123825" y="1285875"/>
            <a:ext cx="5191125" cy="1038225"/>
          </a:xfrm>
          <a:prstGeom prst="roundRect">
            <a:avLst/>
          </a:prstGeom>
          <a:gradFill flip="none" rotWithShape="1">
            <a:gsLst>
              <a:gs pos="0">
                <a:srgbClr val="3B5364"/>
              </a:gs>
              <a:gs pos="25000">
                <a:srgbClr val="3B5364"/>
              </a:gs>
              <a:gs pos="100000">
                <a:schemeClr val="bg1"/>
              </a:gs>
            </a:gsLst>
            <a:lin ang="5400000" scaled="0"/>
            <a:tileRec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ar-EG" sz="1400" b="1">
                <a:solidFill>
                  <a:schemeClr val="bg1"/>
                </a:solidFill>
                <a:latin typeface="Tahoma" panose="020B0604030504040204" pitchFamily="34" charset="0"/>
                <a:ea typeface="Tahoma" panose="020B0604030504040204" pitchFamily="34" charset="0"/>
                <a:cs typeface="Tahoma" panose="020B0604030504040204" pitchFamily="34" charset="0"/>
              </a:rPr>
              <a:t>صفحاتي علي مواقع</a:t>
            </a:r>
            <a:r>
              <a:rPr lang="ar-EG" sz="1400" b="1" baseline="0">
                <a:solidFill>
                  <a:schemeClr val="bg1"/>
                </a:solidFill>
                <a:latin typeface="Tahoma" panose="020B0604030504040204" pitchFamily="34" charset="0"/>
                <a:ea typeface="Tahoma" panose="020B0604030504040204" pitchFamily="34" charset="0"/>
                <a:cs typeface="Tahoma" panose="020B0604030504040204" pitchFamily="34" charset="0"/>
              </a:rPr>
              <a:t> التواصل الاجتماعي</a:t>
            </a:r>
            <a:endParaRPr lang="en-US" sz="14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3" name="Rounded Rectangle 1">
            <a:hlinkClick xmlns:r="http://schemas.openxmlformats.org/officeDocument/2006/relationships" r:id="rId2"/>
            <a:extLst>
              <a:ext uri="{FF2B5EF4-FFF2-40B4-BE49-F238E27FC236}">
                <a16:creationId xmlns:a16="http://schemas.microsoft.com/office/drawing/2014/main" id="{7636C274-28A0-4569-9EC0-58DE77F2E46B}"/>
              </a:ext>
            </a:extLst>
          </xdr:cNvPr>
          <xdr:cNvSpPr/>
        </xdr:nvSpPr>
        <xdr:spPr>
          <a:xfrm>
            <a:off x="1529215" y="1780778"/>
            <a:ext cx="2380345" cy="290603"/>
          </a:xfrm>
          <a:prstGeom prst="roundRect">
            <a:avLst/>
          </a:prstGeom>
          <a:gradFill>
            <a:gsLst>
              <a:gs pos="97000">
                <a:srgbClr val="9DC2D9"/>
              </a:gs>
              <a:gs pos="0">
                <a:srgbClr val="9DC2D9"/>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r-EG" sz="1600" b="1" i="0" u="none" strike="noStrike" kern="0" cap="none" spc="0" normalizeH="0" baseline="0" noProof="0">
                <a:ln>
                  <a:noFill/>
                </a:ln>
                <a:solidFill>
                  <a:srgbClr val="1C1C1C"/>
                </a:solidFill>
                <a:effectLst/>
                <a:uLnTx/>
                <a:uFillTx/>
                <a:latin typeface="Calibri"/>
                <a:ea typeface="+mn-ea"/>
                <a:cs typeface="+mn-cs"/>
              </a:rPr>
              <a:t>صفحاتي</a:t>
            </a:r>
            <a:endParaRPr kumimoji="0" lang="en-US" sz="1600" b="1" i="0" u="none" strike="noStrike" kern="0" cap="none" spc="0" normalizeH="0" baseline="0" noProof="0">
              <a:ln>
                <a:noFill/>
              </a:ln>
              <a:solidFill>
                <a:srgbClr val="1C1C1C"/>
              </a:solidFill>
              <a:effectLst/>
              <a:uLnTx/>
              <a:uFillTx/>
              <a:latin typeface="Calibri"/>
              <a:ea typeface="+mn-ea"/>
              <a:cs typeface="+mn-cs"/>
            </a:endParaRPr>
          </a:p>
        </xdr:txBody>
      </xdr:sp>
    </xdr:grpSp>
    <xdr:clientData/>
  </xdr:twoCellAnchor>
  <xdr:twoCellAnchor>
    <xdr:from>
      <xdr:col>3</xdr:col>
      <xdr:colOff>161925</xdr:colOff>
      <xdr:row>0</xdr:row>
      <xdr:rowOff>76200</xdr:rowOff>
    </xdr:from>
    <xdr:to>
      <xdr:col>3</xdr:col>
      <xdr:colOff>2219325</xdr:colOff>
      <xdr:row>0</xdr:row>
      <xdr:rowOff>542925</xdr:rowOff>
    </xdr:to>
    <xdr:sp macro="" textlink="">
      <xdr:nvSpPr>
        <xdr:cNvPr id="4" name="Arrow: Right 3">
          <a:extLst>
            <a:ext uri="{FF2B5EF4-FFF2-40B4-BE49-F238E27FC236}">
              <a16:creationId xmlns:a16="http://schemas.microsoft.com/office/drawing/2014/main" id="{6028D441-ED73-48B0-A5C1-F81C7E3DA94E}"/>
            </a:ext>
          </a:extLst>
        </xdr:cNvPr>
        <xdr:cNvSpPr/>
      </xdr:nvSpPr>
      <xdr:spPr>
        <a:xfrm flipH="1">
          <a:off x="7162800" y="76200"/>
          <a:ext cx="2057400" cy="466725"/>
        </a:xfrm>
        <a:prstGeom prst="rightArrow">
          <a:avLst/>
        </a:prstGeom>
        <a:solidFill>
          <a:srgbClr val="9DC2D9"/>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xdr:colOff>
      <xdr:row>0</xdr:row>
      <xdr:rowOff>76200</xdr:rowOff>
    </xdr:from>
    <xdr:to>
      <xdr:col>1</xdr:col>
      <xdr:colOff>2238375</xdr:colOff>
      <xdr:row>0</xdr:row>
      <xdr:rowOff>542925</xdr:rowOff>
    </xdr:to>
    <xdr:sp macro="" textlink="">
      <xdr:nvSpPr>
        <xdr:cNvPr id="6" name="Arrow: Right 5">
          <a:extLst>
            <a:ext uri="{FF2B5EF4-FFF2-40B4-BE49-F238E27FC236}">
              <a16:creationId xmlns:a16="http://schemas.microsoft.com/office/drawing/2014/main" id="{69056A65-5275-4A8A-9A5F-5209B1AAAB32}"/>
            </a:ext>
          </a:extLst>
        </xdr:cNvPr>
        <xdr:cNvSpPr/>
      </xdr:nvSpPr>
      <xdr:spPr>
        <a:xfrm>
          <a:off x="2514600" y="76200"/>
          <a:ext cx="2057400" cy="466725"/>
        </a:xfrm>
        <a:prstGeom prst="rightArrow">
          <a:avLst/>
        </a:prstGeom>
        <a:solidFill>
          <a:srgbClr val="9DC2D9"/>
        </a:solidFill>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323850</xdr:colOff>
      <xdr:row>0</xdr:row>
      <xdr:rowOff>76200</xdr:rowOff>
    </xdr:from>
    <xdr:to>
      <xdr:col>21</xdr:col>
      <xdr:colOff>639641</xdr:colOff>
      <xdr:row>23</xdr:row>
      <xdr:rowOff>139700</xdr:rowOff>
    </xdr:to>
    <xdr:pic>
      <xdr:nvPicPr>
        <xdr:cNvPr id="2" name="Picture 1" descr="how to add emoji in Excel tab names?">
          <a:extLst>
            <a:ext uri="{FF2B5EF4-FFF2-40B4-BE49-F238E27FC236}">
              <a16:creationId xmlns:a16="http://schemas.microsoft.com/office/drawing/2014/main" id="{5350B134-BFD2-40CF-9B48-21783A76AA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91700" y="76200"/>
          <a:ext cx="3744791" cy="5473700"/>
        </a:xfrm>
        <a:prstGeom prst="roundRect">
          <a:avLst>
            <a:gd name="adj" fmla="val 1952"/>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257175</xdr:colOff>
      <xdr:row>6</xdr:row>
      <xdr:rowOff>180975</xdr:rowOff>
    </xdr:from>
    <xdr:to>
      <xdr:col>16</xdr:col>
      <xdr:colOff>219075</xdr:colOff>
      <xdr:row>23</xdr:row>
      <xdr:rowOff>66675</xdr:rowOff>
    </xdr:to>
    <xdr:grpSp>
      <xdr:nvGrpSpPr>
        <xdr:cNvPr id="3" name="Group 2">
          <a:extLst>
            <a:ext uri="{FF2B5EF4-FFF2-40B4-BE49-F238E27FC236}">
              <a16:creationId xmlns:a16="http://schemas.microsoft.com/office/drawing/2014/main" id="{E99A172B-AD57-4FD8-9290-99A174B4264A}"/>
            </a:ext>
          </a:extLst>
        </xdr:cNvPr>
        <xdr:cNvGrpSpPr/>
      </xdr:nvGrpSpPr>
      <xdr:grpSpPr>
        <a:xfrm>
          <a:off x="3829050" y="1676400"/>
          <a:ext cx="5857875" cy="3800475"/>
          <a:chOff x="6505575" y="123825"/>
          <a:chExt cx="5857875" cy="3657600"/>
        </a:xfrm>
      </xdr:grpSpPr>
      <xdr:sp macro="" textlink="">
        <xdr:nvSpPr>
          <xdr:cNvPr id="4" name="Rectangle: Rounded Corners 3">
            <a:extLst>
              <a:ext uri="{FF2B5EF4-FFF2-40B4-BE49-F238E27FC236}">
                <a16:creationId xmlns:a16="http://schemas.microsoft.com/office/drawing/2014/main" id="{3CE51012-D151-8E07-35D3-1BE033A3BE0B}"/>
              </a:ext>
            </a:extLst>
          </xdr:cNvPr>
          <xdr:cNvSpPr/>
        </xdr:nvSpPr>
        <xdr:spPr>
          <a:xfrm>
            <a:off x="6505575" y="123825"/>
            <a:ext cx="5857875" cy="3657600"/>
          </a:xfrm>
          <a:prstGeom prst="roundRect">
            <a:avLst>
              <a:gd name="adj" fmla="val 9375"/>
            </a:avLst>
          </a:prstGeom>
          <a:solidFill>
            <a:schemeClr val="bg1"/>
          </a:solid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2C0C54A4-6DC4-E902-B5BD-8474DEF50D80}"/>
              </a:ext>
            </a:extLst>
          </xdr:cNvPr>
          <xdr:cNvGrpSpPr/>
        </xdr:nvGrpSpPr>
        <xdr:grpSpPr>
          <a:xfrm>
            <a:off x="6780390" y="380999"/>
            <a:ext cx="5487810" cy="2990851"/>
            <a:chOff x="6380340" y="276224"/>
            <a:chExt cx="5487810" cy="2990851"/>
          </a:xfrm>
        </xdr:grpSpPr>
        <xdr:pic>
          <xdr:nvPicPr>
            <xdr:cNvPr id="6" name="Picture 5">
              <a:extLst>
                <a:ext uri="{FF2B5EF4-FFF2-40B4-BE49-F238E27FC236}">
                  <a16:creationId xmlns:a16="http://schemas.microsoft.com/office/drawing/2014/main" id="{A94065EF-2412-A3DC-0630-D964CD48ED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80340" y="285751"/>
              <a:ext cx="2173110" cy="2981324"/>
            </a:xfrm>
            <a:prstGeom prst="rect">
              <a:avLst/>
            </a:prstGeom>
          </xdr:spPr>
        </xdr:pic>
        <xdr:pic>
          <xdr:nvPicPr>
            <xdr:cNvPr id="7" name="Picture 6">
              <a:extLst>
                <a:ext uri="{FF2B5EF4-FFF2-40B4-BE49-F238E27FC236}">
                  <a16:creationId xmlns:a16="http://schemas.microsoft.com/office/drawing/2014/main" id="{F3E39A3D-96E2-D647-0E4D-91DC4A532F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436930" y="276224"/>
              <a:ext cx="3031169" cy="2971801"/>
            </a:xfrm>
            <a:prstGeom prst="rect">
              <a:avLst/>
            </a:prstGeom>
          </xdr:spPr>
        </xdr:pic>
        <xdr:sp macro="" textlink="">
          <xdr:nvSpPr>
            <xdr:cNvPr id="8" name="Arrow: Down 7">
              <a:extLst>
                <a:ext uri="{FF2B5EF4-FFF2-40B4-BE49-F238E27FC236}">
                  <a16:creationId xmlns:a16="http://schemas.microsoft.com/office/drawing/2014/main" id="{3F9ABCEA-E390-811B-9F89-241BD330A865}"/>
                </a:ext>
              </a:extLst>
            </xdr:cNvPr>
            <xdr:cNvSpPr/>
          </xdr:nvSpPr>
          <xdr:spPr>
            <a:xfrm>
              <a:off x="6419850" y="2590800"/>
              <a:ext cx="142875" cy="46672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1</a:t>
              </a:r>
            </a:p>
          </xdr:txBody>
        </xdr:sp>
        <xdr:sp macro="" textlink="">
          <xdr:nvSpPr>
            <xdr:cNvPr id="9" name="Arrow: Down 8">
              <a:extLst>
                <a:ext uri="{FF2B5EF4-FFF2-40B4-BE49-F238E27FC236}">
                  <a16:creationId xmlns:a16="http://schemas.microsoft.com/office/drawing/2014/main" id="{10C642D6-C2C0-6FCE-F60C-D5B0670706E2}"/>
                </a:ext>
              </a:extLst>
            </xdr:cNvPr>
            <xdr:cNvSpPr/>
          </xdr:nvSpPr>
          <xdr:spPr>
            <a:xfrm>
              <a:off x="8763000" y="1019175"/>
              <a:ext cx="142875" cy="46672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1</a:t>
              </a:r>
            </a:p>
          </xdr:txBody>
        </xdr:sp>
        <xdr:sp macro="" textlink="">
          <xdr:nvSpPr>
            <xdr:cNvPr id="10" name="Arrow: Down 9">
              <a:extLst>
                <a:ext uri="{FF2B5EF4-FFF2-40B4-BE49-F238E27FC236}">
                  <a16:creationId xmlns:a16="http://schemas.microsoft.com/office/drawing/2014/main" id="{F16B476B-DC11-348C-C9A9-72C092B8C428}"/>
                </a:ext>
              </a:extLst>
            </xdr:cNvPr>
            <xdr:cNvSpPr/>
          </xdr:nvSpPr>
          <xdr:spPr>
            <a:xfrm rot="5400000" flipH="1">
              <a:off x="11563350" y="2571750"/>
              <a:ext cx="142875" cy="46672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2</a:t>
              </a:r>
            </a:p>
          </xdr:txBody>
        </xdr:sp>
        <xdr:sp macro="" textlink="">
          <xdr:nvSpPr>
            <xdr:cNvPr id="11" name="Arrow: Down 10">
              <a:extLst>
                <a:ext uri="{FF2B5EF4-FFF2-40B4-BE49-F238E27FC236}">
                  <a16:creationId xmlns:a16="http://schemas.microsoft.com/office/drawing/2014/main" id="{209F311D-8DF8-DD8B-EA8C-8A35E7498735}"/>
                </a:ext>
              </a:extLst>
            </xdr:cNvPr>
            <xdr:cNvSpPr/>
          </xdr:nvSpPr>
          <xdr:spPr>
            <a:xfrm>
              <a:off x="6972300" y="2371725"/>
              <a:ext cx="142875" cy="46672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2</a:t>
              </a:r>
            </a:p>
          </xdr:txBody>
        </xdr:sp>
        <xdr:sp macro="" textlink="">
          <xdr:nvSpPr>
            <xdr:cNvPr id="12" name="Arrow: Down 11">
              <a:extLst>
                <a:ext uri="{FF2B5EF4-FFF2-40B4-BE49-F238E27FC236}">
                  <a16:creationId xmlns:a16="http://schemas.microsoft.com/office/drawing/2014/main" id="{562A8BB7-EEA2-25ED-0D02-8BC4CE8B4B49}"/>
                </a:ext>
              </a:extLst>
            </xdr:cNvPr>
            <xdr:cNvSpPr/>
          </xdr:nvSpPr>
          <xdr:spPr>
            <a:xfrm flipV="1">
              <a:off x="7219950" y="1257300"/>
              <a:ext cx="142875" cy="466725"/>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3</a:t>
              </a:r>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7E57A-90DE-454B-8668-BAA3F661E1B1}">
  <sheetPr codeName="Sheet4"/>
  <dimension ref="A1:E5"/>
  <sheetViews>
    <sheetView showGridLines="0" zoomScaleNormal="100" zoomScaleSheetLayoutView="100" workbookViewId="0">
      <selection activeCell="A2" sqref="A2:E3"/>
    </sheetView>
  </sheetViews>
  <sheetFormatPr defaultColWidth="0" defaultRowHeight="14.25" zeroHeight="1" x14ac:dyDescent="0.2"/>
  <cols>
    <col min="1" max="5" width="30.625" customWidth="1"/>
    <col min="6" max="16384" width="9" hidden="1"/>
  </cols>
  <sheetData>
    <row r="1" spans="1:5" s="1" customFormat="1" ht="54.95" customHeight="1" thickBot="1" x14ac:dyDescent="0.25"/>
    <row r="2" spans="1:5" ht="54.95" customHeight="1" thickTop="1" x14ac:dyDescent="0.2">
      <c r="A2" s="133" t="s">
        <v>103</v>
      </c>
      <c r="B2" s="133"/>
      <c r="C2" s="133"/>
      <c r="D2" s="133"/>
      <c r="E2" s="133"/>
    </row>
    <row r="3" spans="1:5" ht="54.95" customHeight="1" x14ac:dyDescent="0.2">
      <c r="A3" s="134"/>
      <c r="B3" s="134"/>
      <c r="C3" s="134"/>
      <c r="D3" s="134"/>
      <c r="E3" s="134"/>
    </row>
    <row r="4" spans="1:5" ht="54.95" customHeight="1" x14ac:dyDescent="0.2"/>
    <row r="5" spans="1:5" ht="54.95" customHeight="1" x14ac:dyDescent="0.2"/>
  </sheetData>
  <sheetProtection sheet="1" objects="1" scenarios="1"/>
  <mergeCells count="1">
    <mergeCell ref="A2:E3"/>
  </mergeCells>
  <pageMargins left="0.25" right="0.25" top="0.75" bottom="0.75" header="0.3" footer="0.3"/>
  <pageSetup paperSize="9"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57CC-F64F-496A-BB80-F880479E6181}">
  <dimension ref="B3:M37"/>
  <sheetViews>
    <sheetView zoomScaleNormal="100" workbookViewId="0">
      <selection activeCell="H15" sqref="H15"/>
    </sheetView>
  </sheetViews>
  <sheetFormatPr defaultRowHeight="18" x14ac:dyDescent="0.25"/>
  <cols>
    <col min="1" max="2" width="3.625" style="2" customWidth="1"/>
    <col min="3" max="3" width="9" style="2"/>
    <col min="4" max="4" width="10.625" style="2" customWidth="1"/>
    <col min="5" max="5" width="9" style="2"/>
    <col min="6" max="6" width="11.375" style="2" bestFit="1" customWidth="1"/>
    <col min="7" max="7" width="3.625" style="2" customWidth="1"/>
    <col min="8" max="8" width="5.375" style="2" customWidth="1"/>
    <col min="9" max="9" width="3.625" style="13" customWidth="1"/>
    <col min="10" max="10" width="11" style="2" bestFit="1" customWidth="1"/>
    <col min="11" max="11" width="34.625" style="2" bestFit="1" customWidth="1"/>
    <col min="12" max="12" width="9" style="2"/>
    <col min="13" max="13" width="3.625" style="2" customWidth="1"/>
    <col min="14" max="16384" width="9" style="2"/>
  </cols>
  <sheetData>
    <row r="3" spans="2:13" ht="15.75" x14ac:dyDescent="0.2">
      <c r="B3" s="3"/>
      <c r="C3" s="10"/>
      <c r="D3" s="10"/>
      <c r="E3" s="10"/>
      <c r="F3" s="10"/>
      <c r="G3" s="4"/>
      <c r="I3" s="96"/>
      <c r="J3" s="97"/>
      <c r="K3" s="97"/>
      <c r="L3" s="97"/>
      <c r="M3" s="98"/>
    </row>
    <row r="4" spans="2:13" ht="37.5" x14ac:dyDescent="0.2">
      <c r="B4" s="5"/>
      <c r="C4" s="107" t="s">
        <v>0</v>
      </c>
      <c r="D4" s="107" t="s">
        <v>1</v>
      </c>
      <c r="E4" s="107" t="s">
        <v>2</v>
      </c>
      <c r="F4" s="107" t="s">
        <v>104</v>
      </c>
      <c r="G4" s="6"/>
      <c r="I4" s="99"/>
      <c r="J4" s="110" t="s">
        <v>110</v>
      </c>
      <c r="K4" s="110" t="s">
        <v>97</v>
      </c>
      <c r="L4" s="110" t="s">
        <v>98</v>
      </c>
      <c r="M4" s="109"/>
    </row>
    <row r="5" spans="2:13" ht="18.75" x14ac:dyDescent="0.2">
      <c r="B5" s="5"/>
      <c r="C5" s="11" t="s">
        <v>3</v>
      </c>
      <c r="D5" s="11">
        <v>2</v>
      </c>
      <c r="E5" s="11">
        <v>803</v>
      </c>
      <c r="F5" s="132">
        <f t="shared" ref="F5:F8" si="0">E5*D5</f>
        <v>1606</v>
      </c>
      <c r="G5" s="6"/>
      <c r="I5" s="99"/>
      <c r="J5" s="104">
        <v>1050000</v>
      </c>
      <c r="K5" s="108" t="s">
        <v>118</v>
      </c>
      <c r="L5" s="129">
        <f>J5</f>
        <v>1050000</v>
      </c>
      <c r="M5" s="100"/>
    </row>
    <row r="6" spans="2:13" ht="18.75" x14ac:dyDescent="0.2">
      <c r="B6" s="5"/>
      <c r="C6" s="11" t="s">
        <v>8</v>
      </c>
      <c r="D6" s="11">
        <v>11</v>
      </c>
      <c r="E6" s="11">
        <v>515</v>
      </c>
      <c r="F6" s="132">
        <v>-5005</v>
      </c>
      <c r="G6" s="6"/>
      <c r="I6" s="99"/>
      <c r="J6" s="104">
        <v>8750</v>
      </c>
      <c r="K6" s="108" t="s">
        <v>114</v>
      </c>
      <c r="L6" s="125">
        <f>J6</f>
        <v>8750</v>
      </c>
      <c r="M6" s="101"/>
    </row>
    <row r="7" spans="2:13" ht="18.75" x14ac:dyDescent="0.2">
      <c r="B7" s="5"/>
      <c r="C7" s="11" t="s">
        <v>7</v>
      </c>
      <c r="D7" s="11">
        <v>8</v>
      </c>
      <c r="E7" s="11">
        <v>141</v>
      </c>
      <c r="F7" s="132">
        <f t="shared" si="0"/>
        <v>1128</v>
      </c>
      <c r="G7" s="6"/>
      <c r="I7" s="92"/>
      <c r="J7" s="104">
        <v>5.5</v>
      </c>
      <c r="K7" s="108" t="s">
        <v>115</v>
      </c>
      <c r="L7" s="126">
        <f>J7</f>
        <v>5.5</v>
      </c>
      <c r="M7" s="102"/>
    </row>
    <row r="8" spans="2:13" ht="18.75" x14ac:dyDescent="0.2">
      <c r="B8" s="5"/>
      <c r="C8" s="11" t="s">
        <v>4</v>
      </c>
      <c r="D8" s="11">
        <v>5</v>
      </c>
      <c r="E8" s="11">
        <v>676</v>
      </c>
      <c r="F8" s="132">
        <f t="shared" si="0"/>
        <v>3380</v>
      </c>
      <c r="G8" s="6"/>
      <c r="I8" s="93"/>
      <c r="J8" s="94"/>
      <c r="K8" s="94"/>
      <c r="L8" s="95"/>
      <c r="M8" s="103"/>
    </row>
    <row r="9" spans="2:13" ht="18.75" x14ac:dyDescent="0.25">
      <c r="B9" s="5"/>
      <c r="C9" s="11" t="s">
        <v>5</v>
      </c>
      <c r="D9" s="11">
        <v>5</v>
      </c>
      <c r="E9" s="11">
        <v>283</v>
      </c>
      <c r="F9" s="132" t="s">
        <v>117</v>
      </c>
      <c r="G9" s="6"/>
      <c r="J9" s="13"/>
      <c r="K9" s="13"/>
      <c r="L9" s="13"/>
      <c r="M9" s="13"/>
    </row>
    <row r="10" spans="2:13" ht="18.75" x14ac:dyDescent="0.25">
      <c r="B10" s="5"/>
      <c r="C10" s="11" t="s">
        <v>6</v>
      </c>
      <c r="D10" s="11">
        <v>7</v>
      </c>
      <c r="E10" s="11">
        <v>396</v>
      </c>
      <c r="F10" s="132">
        <v>0</v>
      </c>
      <c r="G10" s="6"/>
      <c r="J10" s="13"/>
      <c r="K10" s="13"/>
      <c r="L10" s="13"/>
      <c r="M10" s="13"/>
    </row>
    <row r="11" spans="2:13" x14ac:dyDescent="0.25">
      <c r="B11" s="7"/>
      <c r="C11" s="8"/>
      <c r="D11" s="8"/>
      <c r="E11" s="8"/>
      <c r="F11" s="128"/>
      <c r="G11" s="9"/>
      <c r="J11" s="13"/>
      <c r="K11" s="13"/>
      <c r="L11" s="13"/>
      <c r="M11" s="13"/>
    </row>
    <row r="12" spans="2:13" x14ac:dyDescent="0.25">
      <c r="J12" s="13"/>
      <c r="K12" s="127"/>
      <c r="L12" s="13"/>
      <c r="M12" s="13"/>
    </row>
    <row r="13" spans="2:13" x14ac:dyDescent="0.25">
      <c r="J13" s="13"/>
      <c r="K13" s="13"/>
      <c r="L13" s="13"/>
      <c r="M13" s="13"/>
    </row>
    <row r="14" spans="2:13" x14ac:dyDescent="0.25">
      <c r="J14" s="13"/>
      <c r="K14" s="13"/>
      <c r="L14" s="13"/>
      <c r="M14" s="13"/>
    </row>
    <row r="15" spans="2:13" x14ac:dyDescent="0.25">
      <c r="J15" s="13"/>
      <c r="K15" s="13"/>
      <c r="L15" s="13"/>
      <c r="M15" s="13"/>
    </row>
    <row r="16" spans="2:13" x14ac:dyDescent="0.25">
      <c r="J16" s="13"/>
      <c r="K16" s="13"/>
      <c r="L16" s="13"/>
      <c r="M16" s="13"/>
    </row>
    <row r="17" spans="10:13" x14ac:dyDescent="0.25">
      <c r="J17" s="13"/>
      <c r="K17" s="13"/>
      <c r="L17" s="13"/>
      <c r="M17" s="13"/>
    </row>
    <row r="18" spans="10:13" x14ac:dyDescent="0.25">
      <c r="J18" s="13"/>
      <c r="K18" s="13"/>
      <c r="L18" s="13"/>
      <c r="M18" s="13"/>
    </row>
    <row r="19" spans="10:13" x14ac:dyDescent="0.25">
      <c r="J19" s="13"/>
      <c r="K19" s="13"/>
      <c r="L19" s="13"/>
      <c r="M19" s="13"/>
    </row>
    <row r="20" spans="10:13" x14ac:dyDescent="0.25">
      <c r="J20" s="13"/>
      <c r="K20" s="13"/>
      <c r="L20" s="13"/>
      <c r="M20" s="13"/>
    </row>
    <row r="21" spans="10:13" x14ac:dyDescent="0.25">
      <c r="J21" s="13"/>
      <c r="K21" s="13"/>
      <c r="L21" s="13"/>
      <c r="M21" s="13"/>
    </row>
    <row r="22" spans="10:13" x14ac:dyDescent="0.25">
      <c r="J22" s="13"/>
      <c r="K22" s="13"/>
      <c r="L22" s="13"/>
      <c r="M22" s="13"/>
    </row>
    <row r="23" spans="10:13" x14ac:dyDescent="0.25">
      <c r="J23" s="13"/>
      <c r="K23" s="13"/>
      <c r="L23" s="13"/>
      <c r="M23" s="13"/>
    </row>
    <row r="24" spans="10:13" x14ac:dyDescent="0.25">
      <c r="J24" s="13"/>
      <c r="K24" s="13"/>
      <c r="L24" s="13"/>
      <c r="M24" s="13"/>
    </row>
    <row r="25" spans="10:13" x14ac:dyDescent="0.25">
      <c r="J25" s="13"/>
      <c r="K25" s="13"/>
      <c r="L25" s="13"/>
      <c r="M25" s="13"/>
    </row>
    <row r="26" spans="10:13" x14ac:dyDescent="0.25">
      <c r="J26" s="13"/>
      <c r="K26" s="13"/>
      <c r="L26" s="13"/>
      <c r="M26" s="13"/>
    </row>
    <row r="27" spans="10:13" x14ac:dyDescent="0.25">
      <c r="J27" s="13"/>
      <c r="K27" s="13"/>
      <c r="L27" s="13"/>
      <c r="M27" s="13"/>
    </row>
    <row r="28" spans="10:13" x14ac:dyDescent="0.25">
      <c r="J28" s="13"/>
      <c r="K28" s="13"/>
      <c r="L28" s="13"/>
      <c r="M28" s="13"/>
    </row>
    <row r="29" spans="10:13" x14ac:dyDescent="0.25">
      <c r="J29" s="13"/>
      <c r="K29" s="13"/>
      <c r="L29" s="13"/>
      <c r="M29" s="13"/>
    </row>
    <row r="30" spans="10:13" x14ac:dyDescent="0.25">
      <c r="J30" s="13"/>
      <c r="K30" s="13"/>
      <c r="L30" s="13"/>
      <c r="M30" s="13"/>
    </row>
    <row r="31" spans="10:13" x14ac:dyDescent="0.25">
      <c r="J31" s="13"/>
      <c r="K31" s="13"/>
      <c r="L31" s="13"/>
      <c r="M31" s="13"/>
    </row>
    <row r="32" spans="10:13" x14ac:dyDescent="0.25">
      <c r="J32" s="13"/>
      <c r="K32" s="13"/>
      <c r="L32" s="13"/>
      <c r="M32" s="13"/>
    </row>
    <row r="33" spans="10:13" x14ac:dyDescent="0.25">
      <c r="J33" s="13"/>
      <c r="K33" s="13"/>
      <c r="L33" s="13"/>
      <c r="M33" s="13"/>
    </row>
    <row r="34" spans="10:13" x14ac:dyDescent="0.25">
      <c r="J34" s="13"/>
      <c r="K34" s="13"/>
      <c r="L34" s="13"/>
      <c r="M34" s="13"/>
    </row>
    <row r="35" spans="10:13" x14ac:dyDescent="0.25">
      <c r="J35" s="13"/>
      <c r="K35" s="13"/>
      <c r="L35" s="13"/>
      <c r="M35" s="13"/>
    </row>
    <row r="36" spans="10:13" x14ac:dyDescent="0.25">
      <c r="J36" s="13"/>
      <c r="K36" s="13"/>
      <c r="L36" s="13"/>
      <c r="M36" s="13"/>
    </row>
    <row r="37" spans="10:13" x14ac:dyDescent="0.25">
      <c r="J37" s="13"/>
      <c r="K37" s="13"/>
      <c r="L37" s="13"/>
      <c r="M37" s="13"/>
    </row>
  </sheetData>
  <phoneticPr fontId="1" type="noConversion"/>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112E-2194-4BC1-B91A-054971A1C546}">
  <sheetPr>
    <pageSetUpPr fitToPage="1"/>
  </sheetPr>
  <dimension ref="B2:L36"/>
  <sheetViews>
    <sheetView zoomScaleNormal="100" workbookViewId="0">
      <selection activeCell="N3" sqref="N3"/>
    </sheetView>
  </sheetViews>
  <sheetFormatPr defaultRowHeight="18" x14ac:dyDescent="0.25"/>
  <cols>
    <col min="1" max="2" width="3.625" style="2" customWidth="1"/>
    <col min="3" max="6" width="9" style="2"/>
    <col min="7" max="7" width="3.625" style="2" customWidth="1"/>
    <col min="8" max="8" width="5.375" style="2" customWidth="1"/>
    <col min="9" max="9" width="9" style="13"/>
    <col min="10" max="16384" width="9" style="2"/>
  </cols>
  <sheetData>
    <row r="2" spans="2:12" ht="18.75" x14ac:dyDescent="0.3">
      <c r="B2" s="3"/>
      <c r="C2" s="10"/>
      <c r="D2" s="10"/>
      <c r="E2" s="10"/>
      <c r="F2" s="10"/>
      <c r="G2" s="4"/>
      <c r="I2" s="14" t="s">
        <v>24</v>
      </c>
      <c r="J2" s="15" t="s">
        <v>25</v>
      </c>
      <c r="K2" s="15" t="s">
        <v>19</v>
      </c>
      <c r="L2" s="16" t="s">
        <v>88</v>
      </c>
    </row>
    <row r="3" spans="2:12" ht="20.25" x14ac:dyDescent="0.2">
      <c r="B3" s="5"/>
      <c r="C3" s="12" t="s">
        <v>9</v>
      </c>
      <c r="D3" s="12" t="s">
        <v>11</v>
      </c>
      <c r="E3" s="12" t="s">
        <v>10</v>
      </c>
      <c r="F3" s="12" t="s">
        <v>12</v>
      </c>
      <c r="G3" s="6"/>
      <c r="I3" s="17" t="s">
        <v>20</v>
      </c>
      <c r="J3" s="18">
        <v>40</v>
      </c>
      <c r="K3" s="70">
        <v>12</v>
      </c>
      <c r="L3" s="19" t="s">
        <v>84</v>
      </c>
    </row>
    <row r="4" spans="2:12" ht="20.25" x14ac:dyDescent="0.2">
      <c r="B4" s="5"/>
      <c r="C4" s="11" t="s">
        <v>13</v>
      </c>
      <c r="D4" s="11">
        <v>703</v>
      </c>
      <c r="E4" s="11">
        <v>803</v>
      </c>
      <c r="F4" s="130">
        <f>E4-D4</f>
        <v>100</v>
      </c>
      <c r="G4" s="6"/>
      <c r="I4" s="17" t="s">
        <v>21</v>
      </c>
      <c r="J4" s="18">
        <v>82</v>
      </c>
      <c r="K4" s="70">
        <v>21</v>
      </c>
      <c r="L4" s="19" t="s">
        <v>85</v>
      </c>
    </row>
    <row r="5" spans="2:12" ht="20.25" x14ac:dyDescent="0.2">
      <c r="B5" s="5"/>
      <c r="C5" s="11" t="s">
        <v>14</v>
      </c>
      <c r="D5" s="11">
        <v>500</v>
      </c>
      <c r="E5" s="11">
        <v>515</v>
      </c>
      <c r="F5" s="130">
        <f t="shared" ref="F5:F9" si="0">E5-D5</f>
        <v>15</v>
      </c>
      <c r="G5" s="6"/>
      <c r="I5" s="17" t="s">
        <v>22</v>
      </c>
      <c r="J5" s="18">
        <v>63</v>
      </c>
      <c r="K5" s="70">
        <v>29</v>
      </c>
      <c r="L5" s="19" t="s">
        <v>86</v>
      </c>
    </row>
    <row r="6" spans="2:12" ht="20.25" x14ac:dyDescent="0.2">
      <c r="B6" s="5"/>
      <c r="C6" s="11" t="s">
        <v>15</v>
      </c>
      <c r="D6" s="11">
        <v>487</v>
      </c>
      <c r="E6" s="11">
        <v>141</v>
      </c>
      <c r="F6" s="130">
        <f t="shared" si="0"/>
        <v>-346</v>
      </c>
      <c r="G6" s="6"/>
      <c r="I6" s="20" t="s">
        <v>23</v>
      </c>
      <c r="J6" s="21">
        <v>75</v>
      </c>
      <c r="K6" s="71">
        <v>40</v>
      </c>
      <c r="L6" s="22" t="s">
        <v>87</v>
      </c>
    </row>
    <row r="7" spans="2:12" ht="18.75" x14ac:dyDescent="0.25">
      <c r="B7" s="5"/>
      <c r="C7" s="11" t="s">
        <v>16</v>
      </c>
      <c r="D7" s="11">
        <v>753</v>
      </c>
      <c r="E7" s="11">
        <v>676</v>
      </c>
      <c r="F7" s="130">
        <f t="shared" si="0"/>
        <v>-77</v>
      </c>
      <c r="G7" s="6"/>
    </row>
    <row r="8" spans="2:12" ht="18.75" x14ac:dyDescent="0.25">
      <c r="B8" s="5"/>
      <c r="C8" s="11" t="s">
        <v>17</v>
      </c>
      <c r="D8" s="11">
        <v>200</v>
      </c>
      <c r="E8" s="11">
        <v>283</v>
      </c>
      <c r="F8" s="130">
        <f t="shared" si="0"/>
        <v>83</v>
      </c>
      <c r="G8" s="6"/>
      <c r="J8" s="13"/>
      <c r="K8" s="13"/>
      <c r="L8" s="13"/>
    </row>
    <row r="9" spans="2:12" ht="18.75" x14ac:dyDescent="0.25">
      <c r="B9" s="5"/>
      <c r="C9" s="11" t="s">
        <v>18</v>
      </c>
      <c r="D9" s="11">
        <v>396</v>
      </c>
      <c r="E9" s="11">
        <v>396</v>
      </c>
      <c r="F9" s="130">
        <f t="shared" si="0"/>
        <v>0</v>
      </c>
      <c r="G9" s="6"/>
      <c r="J9" s="13"/>
      <c r="K9" s="13"/>
      <c r="L9" s="13"/>
    </row>
    <row r="10" spans="2:12" x14ac:dyDescent="0.25">
      <c r="B10" s="7"/>
      <c r="C10" s="8"/>
      <c r="D10" s="8"/>
      <c r="E10" s="8"/>
      <c r="F10" s="8"/>
      <c r="G10" s="9"/>
      <c r="J10" s="13"/>
      <c r="K10" s="13"/>
      <c r="L10" s="13"/>
    </row>
    <row r="11" spans="2:12" x14ac:dyDescent="0.25">
      <c r="J11" s="13"/>
      <c r="K11" s="13"/>
      <c r="L11" s="13"/>
    </row>
    <row r="12" spans="2:12" x14ac:dyDescent="0.25">
      <c r="J12" s="13"/>
      <c r="K12" s="13"/>
      <c r="L12" s="13"/>
    </row>
    <row r="13" spans="2:12" x14ac:dyDescent="0.25">
      <c r="J13" s="13"/>
      <c r="K13" s="13"/>
      <c r="L13" s="13"/>
    </row>
    <row r="14" spans="2:12" x14ac:dyDescent="0.25">
      <c r="J14" s="13"/>
      <c r="K14" s="13"/>
      <c r="L14" s="13"/>
    </row>
    <row r="15" spans="2:12" x14ac:dyDescent="0.25">
      <c r="J15" s="13"/>
      <c r="K15" s="13"/>
      <c r="L15" s="13"/>
    </row>
    <row r="16" spans="2:12" x14ac:dyDescent="0.25">
      <c r="J16" s="13"/>
      <c r="K16" s="13"/>
      <c r="L16" s="13"/>
    </row>
    <row r="17" spans="10:12" x14ac:dyDescent="0.25">
      <c r="J17" s="13"/>
      <c r="K17" s="13"/>
      <c r="L17" s="13"/>
    </row>
    <row r="18" spans="10:12" x14ac:dyDescent="0.25">
      <c r="J18" s="13"/>
      <c r="K18" s="13"/>
      <c r="L18" s="13"/>
    </row>
    <row r="19" spans="10:12" x14ac:dyDescent="0.25">
      <c r="J19" s="13"/>
      <c r="K19" s="13"/>
      <c r="L19" s="13"/>
    </row>
    <row r="20" spans="10:12" x14ac:dyDescent="0.25">
      <c r="J20" s="13"/>
      <c r="K20" s="13"/>
      <c r="L20" s="13"/>
    </row>
    <row r="21" spans="10:12" x14ac:dyDescent="0.25">
      <c r="J21" s="13"/>
      <c r="K21" s="13"/>
      <c r="L21" s="13"/>
    </row>
    <row r="22" spans="10:12" x14ac:dyDescent="0.25">
      <c r="J22" s="13"/>
      <c r="K22" s="13"/>
      <c r="L22" s="13"/>
    </row>
    <row r="23" spans="10:12" x14ac:dyDescent="0.25">
      <c r="J23" s="13"/>
      <c r="K23" s="13"/>
      <c r="L23" s="13"/>
    </row>
    <row r="24" spans="10:12" x14ac:dyDescent="0.25">
      <c r="J24" s="13"/>
      <c r="K24" s="13"/>
      <c r="L24" s="13"/>
    </row>
    <row r="25" spans="10:12" x14ac:dyDescent="0.25">
      <c r="J25" s="13"/>
      <c r="K25" s="13"/>
      <c r="L25" s="13"/>
    </row>
    <row r="26" spans="10:12" x14ac:dyDescent="0.25">
      <c r="J26" s="13"/>
      <c r="K26" s="13"/>
      <c r="L26" s="13"/>
    </row>
    <row r="27" spans="10:12" x14ac:dyDescent="0.25">
      <c r="J27" s="13"/>
      <c r="K27" s="13"/>
      <c r="L27" s="13"/>
    </row>
    <row r="28" spans="10:12" x14ac:dyDescent="0.25">
      <c r="J28" s="13"/>
      <c r="K28" s="13"/>
      <c r="L28" s="13"/>
    </row>
    <row r="29" spans="10:12" x14ac:dyDescent="0.25">
      <c r="J29" s="13"/>
      <c r="K29" s="13"/>
      <c r="L29" s="13"/>
    </row>
    <row r="30" spans="10:12" x14ac:dyDescent="0.25">
      <c r="J30" s="13"/>
      <c r="K30" s="13"/>
      <c r="L30" s="13"/>
    </row>
    <row r="31" spans="10:12" x14ac:dyDescent="0.25">
      <c r="J31" s="13"/>
      <c r="K31" s="13"/>
      <c r="L31" s="13"/>
    </row>
    <row r="32" spans="10:12" x14ac:dyDescent="0.25">
      <c r="J32" s="13"/>
      <c r="K32" s="13"/>
      <c r="L32" s="13"/>
    </row>
    <row r="33" spans="10:12" x14ac:dyDescent="0.25">
      <c r="J33" s="13"/>
      <c r="K33" s="13"/>
      <c r="L33" s="13"/>
    </row>
    <row r="34" spans="10:12" x14ac:dyDescent="0.25">
      <c r="J34" s="13"/>
      <c r="K34" s="13"/>
      <c r="L34" s="13"/>
    </row>
    <row r="35" spans="10:12" x14ac:dyDescent="0.25">
      <c r="J35" s="13"/>
      <c r="K35" s="13"/>
      <c r="L35" s="13"/>
    </row>
    <row r="36" spans="10:12" x14ac:dyDescent="0.25">
      <c r="J36" s="13"/>
      <c r="K36" s="13"/>
      <c r="L36" s="13"/>
    </row>
  </sheetData>
  <printOptions horizontalCentered="1"/>
  <pageMargins left="0.70866141732283472" right="0.70866141732283472" top="0.74803149606299213" bottom="0.74803149606299213" header="0.31496062992125984" footer="0.31496062992125984"/>
  <pageSetup paperSize="9" scale="61"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738F-5C17-47FF-A3E5-421A4420E262}">
  <sheetPr>
    <pageSetUpPr fitToPage="1"/>
  </sheetPr>
  <dimension ref="B2:L36"/>
  <sheetViews>
    <sheetView zoomScaleNormal="100" workbookViewId="0">
      <selection activeCell="L5" sqref="L5:L13"/>
    </sheetView>
  </sheetViews>
  <sheetFormatPr defaultRowHeight="18" x14ac:dyDescent="0.25"/>
  <cols>
    <col min="1" max="2" width="3.625" style="2" customWidth="1"/>
    <col min="3" max="6" width="9" style="2"/>
    <col min="7" max="7" width="3.625" style="2" customWidth="1"/>
    <col min="8" max="8" width="5.375" style="2" customWidth="1"/>
    <col min="9" max="9" width="9" style="13"/>
    <col min="10" max="16384" width="9" style="2"/>
  </cols>
  <sheetData>
    <row r="2" spans="2:12" ht="15.75" x14ac:dyDescent="0.25">
      <c r="B2" s="3"/>
      <c r="C2" s="10"/>
      <c r="D2" s="10"/>
      <c r="E2" s="10"/>
      <c r="F2" s="10"/>
      <c r="G2" s="4"/>
      <c r="I2" s="23" t="s">
        <v>26</v>
      </c>
      <c r="J2" s="23" t="s">
        <v>27</v>
      </c>
      <c r="K2" s="23" t="s">
        <v>26</v>
      </c>
      <c r="L2" s="23" t="s">
        <v>27</v>
      </c>
    </row>
    <row r="3" spans="2:12" ht="18.75" x14ac:dyDescent="0.2">
      <c r="B3" s="5"/>
      <c r="C3" s="12" t="s">
        <v>9</v>
      </c>
      <c r="D3" s="12" t="s">
        <v>10</v>
      </c>
      <c r="E3" s="12" t="s">
        <v>11</v>
      </c>
      <c r="F3" s="12" t="s">
        <v>116</v>
      </c>
      <c r="G3" s="6"/>
      <c r="I3" s="24"/>
      <c r="J3" s="25" t="s">
        <v>28</v>
      </c>
      <c r="K3" s="36"/>
      <c r="L3" s="25" t="s">
        <v>56</v>
      </c>
    </row>
    <row r="4" spans="2:12" ht="18.75" x14ac:dyDescent="0.2">
      <c r="B4" s="5"/>
      <c r="C4" s="11" t="s">
        <v>13</v>
      </c>
      <c r="D4" s="11">
        <v>703</v>
      </c>
      <c r="E4" s="11">
        <v>803</v>
      </c>
      <c r="F4" s="131">
        <f>D4-E4</f>
        <v>-100</v>
      </c>
      <c r="G4" s="6"/>
      <c r="I4" s="25"/>
      <c r="J4" s="25" t="s">
        <v>29</v>
      </c>
      <c r="K4" s="32"/>
      <c r="L4" s="25" t="s">
        <v>57</v>
      </c>
    </row>
    <row r="5" spans="2:12" ht="18.75" x14ac:dyDescent="0.2">
      <c r="B5" s="5"/>
      <c r="C5" s="11" t="s">
        <v>14</v>
      </c>
      <c r="D5" s="11">
        <v>500</v>
      </c>
      <c r="E5" s="11">
        <v>515</v>
      </c>
      <c r="F5" s="131">
        <f t="shared" ref="F5:F8" si="0">D5-E5</f>
        <v>-15</v>
      </c>
      <c r="G5" s="6"/>
      <c r="I5" s="26"/>
      <c r="J5" s="25" t="s">
        <v>30</v>
      </c>
      <c r="K5" s="37"/>
      <c r="L5" s="25" t="s">
        <v>58</v>
      </c>
    </row>
    <row r="6" spans="2:12" ht="18.75" x14ac:dyDescent="0.2">
      <c r="B6" s="5"/>
      <c r="C6" s="11" t="s">
        <v>15</v>
      </c>
      <c r="D6" s="11">
        <v>487</v>
      </c>
      <c r="E6" s="11">
        <v>141</v>
      </c>
      <c r="F6" s="131">
        <f t="shared" si="0"/>
        <v>346</v>
      </c>
      <c r="G6" s="6"/>
      <c r="I6" s="27"/>
      <c r="J6" s="25" t="s">
        <v>31</v>
      </c>
      <c r="K6" s="28"/>
      <c r="L6" s="25" t="s">
        <v>59</v>
      </c>
    </row>
    <row r="7" spans="2:12" ht="18.75" x14ac:dyDescent="0.2">
      <c r="B7" s="5"/>
      <c r="C7" s="11" t="s">
        <v>16</v>
      </c>
      <c r="D7" s="11">
        <v>753</v>
      </c>
      <c r="E7" s="11">
        <v>676</v>
      </c>
      <c r="F7" s="131">
        <f t="shared" si="0"/>
        <v>77</v>
      </c>
      <c r="G7" s="6"/>
      <c r="I7" s="28"/>
      <c r="J7" s="25" t="s">
        <v>32</v>
      </c>
      <c r="K7" s="48"/>
      <c r="L7" s="25" t="s">
        <v>60</v>
      </c>
    </row>
    <row r="8" spans="2:12" ht="18.75" x14ac:dyDescent="0.2">
      <c r="B8" s="5"/>
      <c r="C8" s="11" t="s">
        <v>17</v>
      </c>
      <c r="D8" s="11">
        <v>200</v>
      </c>
      <c r="E8" s="11">
        <v>283</v>
      </c>
      <c r="F8" s="131">
        <f t="shared" si="0"/>
        <v>-83</v>
      </c>
      <c r="G8" s="6"/>
      <c r="I8" s="29"/>
      <c r="J8" s="25" t="s">
        <v>33</v>
      </c>
      <c r="K8" s="43"/>
      <c r="L8" s="25" t="s">
        <v>61</v>
      </c>
    </row>
    <row r="9" spans="2:12" ht="18.75" x14ac:dyDescent="0.2">
      <c r="B9" s="5"/>
      <c r="C9" s="11" t="s">
        <v>18</v>
      </c>
      <c r="D9" s="11">
        <v>396</v>
      </c>
      <c r="E9" s="11">
        <v>396</v>
      </c>
      <c r="F9" s="131">
        <v>0</v>
      </c>
      <c r="G9" s="6"/>
      <c r="I9" s="30"/>
      <c r="J9" s="25" t="s">
        <v>34</v>
      </c>
      <c r="K9" s="49"/>
      <c r="L9" s="25" t="s">
        <v>62</v>
      </c>
    </row>
    <row r="10" spans="2:12" ht="15" x14ac:dyDescent="0.2">
      <c r="B10" s="7"/>
      <c r="C10" s="8"/>
      <c r="D10" s="8"/>
      <c r="E10" s="8"/>
      <c r="F10" s="8"/>
      <c r="G10" s="9"/>
      <c r="I10" s="31"/>
      <c r="J10" s="25" t="s">
        <v>35</v>
      </c>
      <c r="K10" s="50"/>
      <c r="L10" s="25" t="s">
        <v>63</v>
      </c>
    </row>
    <row r="11" spans="2:12" ht="15" x14ac:dyDescent="0.2">
      <c r="I11" s="32"/>
      <c r="J11" s="25" t="s">
        <v>36</v>
      </c>
      <c r="K11" s="51"/>
      <c r="L11" s="25" t="s">
        <v>64</v>
      </c>
    </row>
    <row r="12" spans="2:12" ht="15" x14ac:dyDescent="0.2">
      <c r="I12" s="33"/>
      <c r="J12" s="25" t="s">
        <v>37</v>
      </c>
      <c r="K12" s="52"/>
      <c r="L12" s="25" t="s">
        <v>65</v>
      </c>
    </row>
    <row r="13" spans="2:12" ht="15" x14ac:dyDescent="0.2">
      <c r="I13" s="34"/>
      <c r="J13" s="25" t="s">
        <v>38</v>
      </c>
      <c r="K13" s="53"/>
      <c r="L13" s="25" t="s">
        <v>66</v>
      </c>
    </row>
    <row r="14" spans="2:12" ht="15" x14ac:dyDescent="0.2">
      <c r="I14" s="35"/>
      <c r="J14" s="25" t="s">
        <v>39</v>
      </c>
      <c r="K14" s="54"/>
      <c r="L14" s="25" t="s">
        <v>67</v>
      </c>
    </row>
    <row r="15" spans="2:12" ht="15" x14ac:dyDescent="0.2">
      <c r="I15" s="36"/>
      <c r="J15" s="25" t="s">
        <v>40</v>
      </c>
      <c r="K15" s="55"/>
      <c r="L15" s="25" t="s">
        <v>68</v>
      </c>
    </row>
    <row r="16" spans="2:12" ht="15" x14ac:dyDescent="0.2">
      <c r="I16" s="37"/>
      <c r="J16" s="25" t="s">
        <v>41</v>
      </c>
      <c r="K16" s="56"/>
      <c r="L16" s="25" t="s">
        <v>69</v>
      </c>
    </row>
    <row r="17" spans="9:12" ht="15" x14ac:dyDescent="0.2">
      <c r="I17" s="38"/>
      <c r="J17" s="25" t="s">
        <v>42</v>
      </c>
      <c r="K17" s="57"/>
      <c r="L17" s="25" t="s">
        <v>70</v>
      </c>
    </row>
    <row r="18" spans="9:12" ht="15" x14ac:dyDescent="0.2">
      <c r="I18" s="39"/>
      <c r="J18" s="25" t="s">
        <v>43</v>
      </c>
      <c r="K18" s="58"/>
      <c r="L18" s="25" t="s">
        <v>71</v>
      </c>
    </row>
    <row r="19" spans="9:12" ht="15" x14ac:dyDescent="0.2">
      <c r="I19" s="40"/>
      <c r="J19" s="25" t="s">
        <v>44</v>
      </c>
      <c r="K19" s="59"/>
      <c r="L19" s="25" t="s">
        <v>72</v>
      </c>
    </row>
    <row r="20" spans="9:12" ht="15" x14ac:dyDescent="0.2">
      <c r="I20" s="41"/>
      <c r="J20" s="25" t="s">
        <v>45</v>
      </c>
      <c r="K20" s="60"/>
      <c r="L20" s="25" t="s">
        <v>73</v>
      </c>
    </row>
    <row r="21" spans="9:12" ht="15" x14ac:dyDescent="0.2">
      <c r="I21" s="42"/>
      <c r="J21" s="25" t="s">
        <v>46</v>
      </c>
      <c r="K21" s="61"/>
      <c r="L21" s="25" t="s">
        <v>74</v>
      </c>
    </row>
    <row r="22" spans="9:12" ht="15" x14ac:dyDescent="0.2">
      <c r="I22" s="43"/>
      <c r="J22" s="25" t="s">
        <v>47</v>
      </c>
      <c r="K22" s="62"/>
      <c r="L22" s="25" t="s">
        <v>75</v>
      </c>
    </row>
    <row r="23" spans="9:12" ht="15" x14ac:dyDescent="0.2">
      <c r="I23" s="44"/>
      <c r="J23" s="25" t="s">
        <v>48</v>
      </c>
      <c r="K23" s="63"/>
      <c r="L23" s="25" t="s">
        <v>76</v>
      </c>
    </row>
    <row r="24" spans="9:12" ht="15" x14ac:dyDescent="0.2">
      <c r="I24" s="45"/>
      <c r="J24" s="25" t="s">
        <v>49</v>
      </c>
      <c r="K24" s="64"/>
      <c r="L24" s="25" t="s">
        <v>77</v>
      </c>
    </row>
    <row r="25" spans="9:12" ht="15" x14ac:dyDescent="0.2">
      <c r="I25" s="46"/>
      <c r="J25" s="25" t="s">
        <v>50</v>
      </c>
      <c r="K25" s="65"/>
      <c r="L25" s="25" t="s">
        <v>78</v>
      </c>
    </row>
    <row r="26" spans="9:12" ht="15" x14ac:dyDescent="0.2">
      <c r="I26" s="47"/>
      <c r="J26" s="25" t="s">
        <v>51</v>
      </c>
      <c r="K26" s="66"/>
      <c r="L26" s="25" t="s">
        <v>79</v>
      </c>
    </row>
    <row r="27" spans="9:12" ht="15" x14ac:dyDescent="0.2">
      <c r="I27" s="34"/>
      <c r="J27" s="25" t="s">
        <v>52</v>
      </c>
      <c r="K27" s="67"/>
      <c r="L27" s="25" t="s">
        <v>80</v>
      </c>
    </row>
    <row r="28" spans="9:12" ht="15" x14ac:dyDescent="0.2">
      <c r="I28" s="30"/>
      <c r="J28" s="25" t="s">
        <v>53</v>
      </c>
      <c r="K28" s="41"/>
      <c r="L28" s="25" t="s">
        <v>81</v>
      </c>
    </row>
    <row r="29" spans="9:12" ht="15" x14ac:dyDescent="0.2">
      <c r="I29" s="29"/>
      <c r="J29" s="25" t="s">
        <v>54</v>
      </c>
      <c r="K29" s="68"/>
      <c r="L29" s="25" t="s">
        <v>82</v>
      </c>
    </row>
    <row r="30" spans="9:12" ht="15" x14ac:dyDescent="0.2">
      <c r="I30" s="31"/>
      <c r="J30" s="25" t="s">
        <v>55</v>
      </c>
      <c r="K30" s="69"/>
      <c r="L30" s="25" t="s">
        <v>83</v>
      </c>
    </row>
    <row r="31" spans="9:12" ht="15" x14ac:dyDescent="0.2">
      <c r="I31" s="46"/>
      <c r="J31" s="25" t="s">
        <v>50</v>
      </c>
      <c r="K31" s="65"/>
      <c r="L31" s="25" t="s">
        <v>78</v>
      </c>
    </row>
    <row r="32" spans="9:12" ht="15" x14ac:dyDescent="0.2">
      <c r="I32" s="47"/>
      <c r="J32" s="25" t="s">
        <v>51</v>
      </c>
      <c r="K32" s="66"/>
      <c r="L32" s="25" t="s">
        <v>79</v>
      </c>
    </row>
    <row r="33" spans="9:12" ht="15" x14ac:dyDescent="0.2">
      <c r="I33" s="34"/>
      <c r="J33" s="25" t="s">
        <v>52</v>
      </c>
      <c r="K33" s="67"/>
      <c r="L33" s="25" t="s">
        <v>80</v>
      </c>
    </row>
    <row r="34" spans="9:12" ht="15" x14ac:dyDescent="0.2">
      <c r="I34" s="30"/>
      <c r="J34" s="25" t="s">
        <v>53</v>
      </c>
      <c r="K34" s="41"/>
      <c r="L34" s="25" t="s">
        <v>81</v>
      </c>
    </row>
    <row r="35" spans="9:12" ht="15" x14ac:dyDescent="0.2">
      <c r="I35" s="29"/>
      <c r="J35" s="25" t="s">
        <v>54</v>
      </c>
      <c r="K35" s="68"/>
      <c r="L35" s="25" t="s">
        <v>82</v>
      </c>
    </row>
    <row r="36" spans="9:12" ht="15" x14ac:dyDescent="0.2">
      <c r="I36" s="31"/>
      <c r="J36" s="25" t="s">
        <v>55</v>
      </c>
      <c r="K36" s="69"/>
      <c r="L36" s="25" t="s">
        <v>83</v>
      </c>
    </row>
  </sheetData>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D114-3839-4CF6-8A24-75E8B65EEE07}">
  <dimension ref="B2:J11"/>
  <sheetViews>
    <sheetView tabSelected="1" zoomScaleNormal="100" workbookViewId="0">
      <selection activeCell="H15" sqref="H15"/>
    </sheetView>
  </sheetViews>
  <sheetFormatPr defaultRowHeight="14.25" x14ac:dyDescent="0.2"/>
  <cols>
    <col min="1" max="2" width="3.625" style="2" customWidth="1"/>
    <col min="3" max="3" width="13.75" style="2" bestFit="1" customWidth="1"/>
    <col min="4" max="4" width="3.625" style="2" customWidth="1"/>
    <col min="5" max="5" width="5.375" style="2" customWidth="1"/>
    <col min="6" max="6" width="3.625" style="2" customWidth="1"/>
    <col min="7" max="7" width="28.25" style="2" customWidth="1"/>
    <col min="8" max="8" width="26.25" style="2" customWidth="1"/>
    <col min="9" max="9" width="18.125" style="2" customWidth="1"/>
    <col min="10" max="10" width="3.625" style="2" customWidth="1"/>
    <col min="11" max="16384" width="9" style="2"/>
  </cols>
  <sheetData>
    <row r="2" spans="2:10" ht="20.100000000000001" customHeight="1" x14ac:dyDescent="0.3">
      <c r="B2" s="3"/>
      <c r="C2" s="10"/>
      <c r="D2" s="4"/>
      <c r="F2" s="89"/>
      <c r="G2" s="89"/>
      <c r="H2" s="89"/>
      <c r="I2" s="89"/>
      <c r="J2" s="89"/>
    </row>
    <row r="3" spans="2:10" ht="20.100000000000001" customHeight="1" x14ac:dyDescent="0.3">
      <c r="B3" s="5"/>
      <c r="C3" s="12" t="s">
        <v>99</v>
      </c>
      <c r="D3" s="6"/>
      <c r="F3" s="89"/>
      <c r="G3" s="72" t="s">
        <v>96</v>
      </c>
      <c r="H3" s="72" t="s">
        <v>97</v>
      </c>
      <c r="I3" s="72" t="s">
        <v>98</v>
      </c>
      <c r="J3" s="89"/>
    </row>
    <row r="4" spans="2:10" ht="20.100000000000001" customHeight="1" x14ac:dyDescent="0.3">
      <c r="B4" s="5"/>
      <c r="C4" s="105">
        <v>46023</v>
      </c>
      <c r="D4" s="6"/>
      <c r="F4" s="89"/>
      <c r="G4" s="73">
        <v>46174</v>
      </c>
      <c r="H4" s="74" t="s">
        <v>89</v>
      </c>
      <c r="I4" s="75">
        <v>46174</v>
      </c>
      <c r="J4" s="89"/>
    </row>
    <row r="5" spans="2:10" ht="20.100000000000001" customHeight="1" x14ac:dyDescent="0.3">
      <c r="B5" s="5"/>
      <c r="C5" s="105">
        <v>46024</v>
      </c>
      <c r="D5" s="6"/>
      <c r="F5" s="89"/>
      <c r="G5" s="76">
        <v>46174</v>
      </c>
      <c r="H5" s="77" t="s">
        <v>90</v>
      </c>
      <c r="I5" s="78">
        <v>46174</v>
      </c>
      <c r="J5" s="89"/>
    </row>
    <row r="6" spans="2:10" ht="20.100000000000001" customHeight="1" x14ac:dyDescent="0.3">
      <c r="B6" s="5"/>
      <c r="C6" s="105">
        <v>46025</v>
      </c>
      <c r="D6" s="6"/>
      <c r="F6" s="89"/>
      <c r="G6" s="79">
        <v>46174</v>
      </c>
      <c r="H6" s="80" t="s">
        <v>91</v>
      </c>
      <c r="I6" s="81">
        <v>46174</v>
      </c>
      <c r="J6" s="89"/>
    </row>
    <row r="7" spans="2:10" ht="20.100000000000001" customHeight="1" x14ac:dyDescent="0.3">
      <c r="B7" s="5"/>
      <c r="C7" s="105">
        <v>46026</v>
      </c>
      <c r="D7" s="6"/>
      <c r="F7" s="89"/>
      <c r="G7" s="76">
        <v>46174</v>
      </c>
      <c r="H7" s="77" t="s">
        <v>92</v>
      </c>
      <c r="I7" s="82">
        <v>46174</v>
      </c>
      <c r="J7" s="89"/>
    </row>
    <row r="8" spans="2:10" ht="20.100000000000001" customHeight="1" x14ac:dyDescent="0.3">
      <c r="B8" s="5"/>
      <c r="C8" s="105">
        <v>46027</v>
      </c>
      <c r="D8" s="6"/>
      <c r="F8" s="89"/>
      <c r="G8" s="79">
        <v>46174</v>
      </c>
      <c r="H8" s="83" t="s">
        <v>93</v>
      </c>
      <c r="I8" s="84">
        <v>46174</v>
      </c>
      <c r="J8" s="89"/>
    </row>
    <row r="9" spans="2:10" ht="20.100000000000001" customHeight="1" x14ac:dyDescent="0.3">
      <c r="B9" s="5"/>
      <c r="C9" s="105">
        <v>46028</v>
      </c>
      <c r="D9" s="6"/>
      <c r="F9" s="89"/>
      <c r="G9" s="76">
        <v>46174</v>
      </c>
      <c r="H9" s="77" t="s">
        <v>94</v>
      </c>
      <c r="I9" s="85">
        <v>46174</v>
      </c>
      <c r="J9" s="89"/>
    </row>
    <row r="10" spans="2:10" ht="20.100000000000001" customHeight="1" x14ac:dyDescent="0.3">
      <c r="B10" s="7"/>
      <c r="C10" s="106"/>
      <c r="D10" s="9"/>
      <c r="F10" s="89"/>
      <c r="G10" s="86">
        <v>46174</v>
      </c>
      <c r="H10" s="87" t="s">
        <v>95</v>
      </c>
      <c r="I10" s="88">
        <v>46174</v>
      </c>
      <c r="J10" s="89"/>
    </row>
    <row r="11" spans="2:10" ht="20.100000000000001" customHeight="1" x14ac:dyDescent="0.3">
      <c r="F11" s="89"/>
      <c r="G11" s="90"/>
      <c r="H11" s="90"/>
      <c r="I11" s="91"/>
      <c r="J11" s="89"/>
    </row>
  </sheetData>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886C0-1FE1-4E00-8CD6-7F2F7F49588A}">
  <sheetPr>
    <pageSetUpPr fitToPage="1"/>
  </sheetPr>
  <dimension ref="B2:J11"/>
  <sheetViews>
    <sheetView zoomScaleNormal="100" workbookViewId="0">
      <selection activeCell="I14" sqref="I14"/>
    </sheetView>
  </sheetViews>
  <sheetFormatPr defaultRowHeight="14.25" x14ac:dyDescent="0.2"/>
  <cols>
    <col min="1" max="2" width="3.625" style="2" customWidth="1"/>
    <col min="3" max="3" width="13.75" style="2" bestFit="1" customWidth="1"/>
    <col min="4" max="4" width="3.625" style="2" customWidth="1"/>
    <col min="5" max="5" width="5.375" style="2" customWidth="1"/>
    <col min="6" max="6" width="3.625" style="2" customWidth="1"/>
    <col min="7" max="7" width="15.125" style="2" customWidth="1"/>
    <col min="8" max="8" width="15.5" style="2" customWidth="1"/>
    <col min="9" max="9" width="26.25" style="2" customWidth="1"/>
    <col min="10" max="10" width="3.625" style="2" customWidth="1"/>
    <col min="11" max="16384" width="9" style="2"/>
  </cols>
  <sheetData>
    <row r="2" spans="2:10" ht="20.100000000000001" customHeight="1" x14ac:dyDescent="0.3">
      <c r="B2" s="3"/>
      <c r="C2" s="10"/>
      <c r="D2" s="4"/>
      <c r="F2" s="115"/>
      <c r="G2" s="116"/>
      <c r="H2" s="116"/>
      <c r="I2" s="117"/>
      <c r="J2" s="118"/>
    </row>
    <row r="3" spans="2:10" ht="20.100000000000001" customHeight="1" x14ac:dyDescent="0.3">
      <c r="B3" s="5"/>
      <c r="C3" s="12" t="s">
        <v>102</v>
      </c>
      <c r="D3" s="6"/>
      <c r="F3" s="119"/>
      <c r="G3" s="110" t="s">
        <v>111</v>
      </c>
      <c r="H3" s="110" t="s">
        <v>97</v>
      </c>
      <c r="I3" s="110" t="s">
        <v>98</v>
      </c>
      <c r="J3" s="120"/>
    </row>
    <row r="4" spans="2:10" ht="20.100000000000001" customHeight="1" x14ac:dyDescent="0.3">
      <c r="B4" s="5"/>
      <c r="C4" s="11" t="s">
        <v>105</v>
      </c>
      <c r="D4" s="6"/>
      <c r="F4" s="119"/>
      <c r="G4" s="111" t="s">
        <v>100</v>
      </c>
      <c r="H4" s="111" t="s">
        <v>112</v>
      </c>
      <c r="I4" s="112" t="s">
        <v>100</v>
      </c>
      <c r="J4" s="120"/>
    </row>
    <row r="5" spans="2:10" ht="20.100000000000001" customHeight="1" x14ac:dyDescent="0.3">
      <c r="B5" s="5"/>
      <c r="C5" s="11" t="s">
        <v>106</v>
      </c>
      <c r="D5" s="6"/>
      <c r="F5" s="119"/>
      <c r="G5" s="111"/>
      <c r="H5" s="111"/>
      <c r="I5" s="113"/>
      <c r="J5" s="120"/>
    </row>
    <row r="6" spans="2:10" ht="20.100000000000001" customHeight="1" x14ac:dyDescent="0.3">
      <c r="B6" s="5"/>
      <c r="C6" s="11" t="s">
        <v>107</v>
      </c>
      <c r="D6" s="6"/>
      <c r="F6" s="119"/>
      <c r="G6" s="111"/>
      <c r="H6" s="111"/>
      <c r="I6" s="113"/>
      <c r="J6" s="120"/>
    </row>
    <row r="7" spans="2:10" ht="20.100000000000001" customHeight="1" x14ac:dyDescent="0.3">
      <c r="B7" s="5"/>
      <c r="C7" s="11" t="s">
        <v>108</v>
      </c>
      <c r="D7" s="6"/>
      <c r="F7" s="119"/>
      <c r="G7" s="111" t="s">
        <v>101</v>
      </c>
      <c r="H7" s="111" t="s">
        <v>113</v>
      </c>
      <c r="I7" s="114" t="s">
        <v>101</v>
      </c>
      <c r="J7" s="120"/>
    </row>
    <row r="8" spans="2:10" ht="20.100000000000001" customHeight="1" x14ac:dyDescent="0.3">
      <c r="B8" s="5"/>
      <c r="C8" s="11" t="s">
        <v>105</v>
      </c>
      <c r="D8" s="6"/>
      <c r="F8" s="121"/>
      <c r="G8" s="122"/>
      <c r="H8" s="122"/>
      <c r="I8" s="123"/>
      <c r="J8" s="124"/>
    </row>
    <row r="9" spans="2:10" ht="20.100000000000001" customHeight="1" x14ac:dyDescent="0.2">
      <c r="B9" s="5"/>
      <c r="C9" s="11" t="s">
        <v>109</v>
      </c>
      <c r="D9" s="6"/>
    </row>
    <row r="10" spans="2:10" ht="20.100000000000001" customHeight="1" x14ac:dyDescent="0.2">
      <c r="B10" s="7"/>
      <c r="C10" s="8"/>
      <c r="D10" s="9"/>
    </row>
    <row r="11" spans="2:10" ht="20.100000000000001" customHeight="1" x14ac:dyDescent="0.2"/>
  </sheetData>
  <printOptions horizontalCentered="1"/>
  <pageMargins left="0.70866141732283472" right="0.70866141732283472" top="0.74803149606299213" bottom="0.74803149606299213" header="0.31496062992125984" footer="0.31496062992125984"/>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CC8B93-FEF8-477C-A566-7549A75D07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Home</vt:lpstr>
      <vt:lpstr>الارقام</vt:lpstr>
      <vt:lpstr>الرموز</vt:lpstr>
      <vt:lpstr>الالوان</vt:lpstr>
      <vt:lpstr>التاريخ</vt:lpstr>
      <vt:lpstr>النصوص</vt:lpstr>
      <vt:lpstr>Home!Print_Area</vt:lpstr>
      <vt:lpstr>الارقام!Print_Area</vt:lpstr>
      <vt:lpstr>الالوان!Print_Area</vt:lpstr>
      <vt:lpstr>التاريخ!Print_Area</vt:lpstr>
      <vt:lpstr>الرموز!Print_Area</vt:lpstr>
      <vt:lpstr>النصوص!Print_Area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samir</dc:creator>
  <cp:lastModifiedBy>ahmed samir</cp:lastModifiedBy>
  <cp:lastPrinted>2026-06-21T15:39:51Z</cp:lastPrinted>
  <dcterms:created xsi:type="dcterms:W3CDTF">2026-03-14T09:01:56Z</dcterms:created>
  <dcterms:modified xsi:type="dcterms:W3CDTF">2026-06-27T14:53:20Z</dcterms:modified>
</cp:coreProperties>
</file>